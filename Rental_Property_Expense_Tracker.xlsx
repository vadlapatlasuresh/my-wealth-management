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pense Log" sheetId="1" state="visible" r:id="rId1"/>
    <sheet name="Properties" sheetId="2" state="visible" r:id="rId2"/>
    <sheet name="Per-Property Summary" sheetId="3" state="visible" r:id="rId3"/>
    <sheet name="Annual Tax Summary" sheetId="4" state="visible" r:id="rId4"/>
    <sheet name="Property Detail" sheetId="5" state="visible" r:id="rId5"/>
    <sheet name="Legend &amp; Formula Guide" sheetId="6" state="visible" r:id="rId6"/>
    <sheet name="Lists" sheetId="7" state="hidden" r:id="rId7"/>
  </sheets>
  <definedNames>
    <definedName name="PropertyList">Properties!$A$3:$A$14</definedName>
    <definedName name="CategoryList">Lists!$A$2:$A$14</definedName>
    <definedName name="PaymentList">Lists!$B$2:$B$6</definedName>
    <definedName name="_xlnm.Print_Area" localSheetId="3">'Annual Tax Summary'!$A$1:$D$22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i val="1"/>
      <color rgb="006B7280"/>
      <sz val="11"/>
    </font>
    <font>
      <name val="Calibri"/>
      <b val="1"/>
      <color rgb="00222B36"/>
      <sz val="11"/>
    </font>
    <font>
      <name val="Calibri"/>
      <b val="1"/>
      <color rgb="001A3B2A"/>
      <sz val="11"/>
    </font>
    <font>
      <name val="Calibri"/>
      <b val="1"/>
      <color rgb="00FFFFFF"/>
      <sz val="16"/>
    </font>
    <font>
      <b val="1"/>
      <color rgb="002C7A7B"/>
      <sz val="13"/>
    </font>
    <font>
      <name val="Calibri"/>
      <color rgb="006B7280"/>
      <sz val="11"/>
    </font>
    <font>
      <b val="1"/>
      <color rgb="002C7A7B"/>
      <sz val="12"/>
    </font>
    <font>
      <b val="1"/>
      <color rgb="002C7A7B"/>
    </font>
    <font>
      <name val="Calibri"/>
      <color rgb="00222B36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C7A7B"/>
      </patternFill>
    </fill>
    <fill>
      <patternFill patternType="solid">
        <fgColor rgb="00F2F6FB"/>
      </patternFill>
    </fill>
    <fill>
      <patternFill patternType="solid">
        <fgColor rgb="00FFFFFF"/>
      </patternFill>
    </fill>
    <fill>
      <patternFill patternType="solid">
        <fgColor rgb="00D9E8D2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  <border>
      <left style="medium">
        <color rgb="001F3A5F"/>
      </left>
      <right style="medium">
        <color rgb="001F3A5F"/>
      </right>
      <top style="medium">
        <color rgb="001F3A5F"/>
      </top>
      <bottom style="medium">
        <color rgb="001F3A5F"/>
      </bottom>
    </border>
    <border>
      <left/>
      <right/>
      <top style="medium">
        <color rgb="001F3A5F"/>
      </top>
      <bottom/>
      <diagonal/>
    </border>
    <border>
      <left/>
      <right style="medium">
        <color rgb="001F3A5F"/>
      </right>
      <top style="medium">
        <color rgb="001F3A5F"/>
      </top>
      <bottom/>
      <diagonal/>
    </border>
    <border>
      <left/>
      <right/>
      <top style="medium">
        <color rgb="001F3A5F"/>
      </top>
      <bottom style="medium">
        <color rgb="001F3A5F"/>
      </bottom>
      <diagonal/>
    </border>
    <border>
      <left/>
      <right style="medium">
        <color rgb="001F3A5F"/>
      </right>
      <top style="medium">
        <color rgb="001F3A5F"/>
      </top>
      <bottom style="medium">
        <color rgb="001F3A5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164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" fontId="1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5" fillId="6" borderId="1" pivotButton="0" quotePrefix="0" xfId="0"/>
    <xf numFmtId="4" fontId="5" fillId="6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4" fontId="5" fillId="6" borderId="1" pivotButton="0" quotePrefix="0" xfId="0"/>
    <xf numFmtId="0" fontId="0" fillId="6" borderId="1" pivotButton="0" quotePrefix="0" xfId="0"/>
    <xf numFmtId="0" fontId="9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right" vertical="center"/>
    </xf>
    <xf numFmtId="4" fontId="1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8A6D00"/>
      </font>
      <fill>
        <patternFill patternType="solid">
          <f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M5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  <col width="26" customWidth="1" min="5" max="5"/>
    <col width="12" customWidth="1" min="6" max="6"/>
    <col width="15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28" customWidth="1" min="13" max="13"/>
  </cols>
  <sheetData>
    <row r="1" ht="26" customHeight="1">
      <c r="A1" s="1" t="inlineStr">
        <is>
          <t>MASTER EXPENSE LOG  —  enter every expense here (one row = one expense)</t>
        </is>
      </c>
    </row>
    <row r="2">
      <c r="A2" s="2" t="n">
        <v>46025</v>
      </c>
      <c r="B2" s="3" t="inlineStr">
        <is>
          <t>123 Maple St</t>
        </is>
      </c>
      <c r="C2" s="3" t="inlineStr">
        <is>
          <t>Cleaning Expenses</t>
        </is>
      </c>
      <c r="D2" s="3" t="inlineStr">
        <is>
          <t>SparkleClean Co</t>
        </is>
      </c>
      <c r="E2" s="3" t="inlineStr">
        <is>
          <t>Move-out deep clean</t>
        </is>
      </c>
      <c r="F2" s="4" t="n">
        <v>185</v>
      </c>
      <c r="G2" s="3" t="inlineStr">
        <is>
          <t>Credit Card</t>
        </is>
      </c>
      <c r="H2" s="3" t="inlineStr">
        <is>
          <t>RCPT-1001</t>
        </is>
      </c>
      <c r="I2" s="3" t="inlineStr">
        <is>
          <t>Time Spent (hrs)</t>
        </is>
      </c>
      <c r="J2" s="4" t="inlineStr">
        <is>
          <t>Hourly Rate</t>
        </is>
      </c>
      <c r="K2" s="4">
        <f>IF(AND(ISNUMBER(I2),ISNUMBER(J2)),I2*J2,"")</f>
        <v/>
      </c>
      <c r="L2" s="4">
        <f>IF(AND(F2="",K2=""),"",N(F2)+IF(ISNUMBER(K2),K2,0))</f>
        <v/>
      </c>
      <c r="M2" s="3" t="inlineStr">
        <is>
          <t>Tenant turnover</t>
        </is>
      </c>
    </row>
    <row r="3">
      <c r="A3" s="5" t="n">
        <v>46027</v>
      </c>
      <c r="B3" s="6" t="inlineStr">
        <is>
          <t>123 Maple St</t>
        </is>
      </c>
      <c r="C3" s="6" t="inlineStr">
        <is>
          <t>Repairs</t>
        </is>
      </c>
      <c r="D3" s="6" t="inlineStr">
        <is>
          <t>Ace Hardware</t>
        </is>
      </c>
      <c r="E3" s="6" t="inlineStr">
        <is>
          <t>Replace kitchen faucet</t>
        </is>
      </c>
      <c r="F3" s="7" t="n">
        <v>92.45</v>
      </c>
      <c r="G3" s="6" t="inlineStr">
        <is>
          <t>Credit Card</t>
        </is>
      </c>
      <c r="H3" s="6" t="inlineStr">
        <is>
          <t>RCPT-1002</t>
        </is>
      </c>
      <c r="I3" s="8" t="n">
        <v>1.5</v>
      </c>
      <c r="J3" s="7" t="n">
        <v>45</v>
      </c>
      <c r="K3" s="7">
        <f>IF(AND(ISNUMBER(I3),ISNUMBER(J3)),I3*J3,"")</f>
        <v/>
      </c>
      <c r="L3" s="7">
        <f>IF(AND(F3="",K3=""),"",N(F3)+IF(ISNUMBER(K3),K3,0))</f>
        <v/>
      </c>
      <c r="M3" s="6" t="inlineStr">
        <is>
          <t>Parts + own labor</t>
        </is>
      </c>
    </row>
    <row r="4">
      <c r="A4" s="9" t="n">
        <v>46030</v>
      </c>
      <c r="B4" s="10" t="inlineStr">
        <is>
          <t>456 Oak Ave</t>
        </is>
      </c>
      <c r="C4" s="10" t="inlineStr">
        <is>
          <t>Utilities</t>
        </is>
      </c>
      <c r="D4" s="10" t="inlineStr">
        <is>
          <t>City Water Dept</t>
        </is>
      </c>
      <c r="E4" s="10" t="inlineStr">
        <is>
          <t>Water/sewer Dec</t>
        </is>
      </c>
      <c r="F4" s="11" t="n">
        <v>78.2</v>
      </c>
      <c r="G4" s="10" t="inlineStr">
        <is>
          <t>Bank Transfer</t>
        </is>
      </c>
      <c r="H4" s="10" t="inlineStr">
        <is>
          <t>RCPT-1003</t>
        </is>
      </c>
      <c r="I4" s="12" t="n"/>
      <c r="J4" s="11" t="n"/>
      <c r="K4" s="11">
        <f>IF(AND(ISNUMBER(I4),ISNUMBER(J4)),I4*J4,"")</f>
        <v/>
      </c>
      <c r="L4" s="11">
        <f>IF(AND(F4="",K4=""),"",N(F4)+IF(ISNUMBER(K4),K4,0))</f>
        <v/>
      </c>
      <c r="M4" s="10" t="inlineStr"/>
    </row>
    <row r="5">
      <c r="A5" s="5" t="n">
        <v>46031</v>
      </c>
      <c r="B5" s="6" t="inlineStr">
        <is>
          <t>789 Pine Rd</t>
        </is>
      </c>
      <c r="C5" s="6" t="inlineStr">
        <is>
          <t>Property Management Fees</t>
        </is>
      </c>
      <c r="D5" s="6" t="inlineStr">
        <is>
          <t>Summit PM</t>
        </is>
      </c>
      <c r="E5" s="6" t="inlineStr">
        <is>
          <t>Jan management 8%</t>
        </is>
      </c>
      <c r="F5" s="7" t="n">
        <v>140</v>
      </c>
      <c r="G5" s="6" t="inlineStr">
        <is>
          <t>Bank Transfer</t>
        </is>
      </c>
      <c r="H5" s="6" t="inlineStr">
        <is>
          <t>RCPT-1004</t>
        </is>
      </c>
      <c r="I5" s="8" t="n"/>
      <c r="J5" s="7" t="n"/>
      <c r="K5" s="7">
        <f>IF(AND(ISNUMBER(I5),ISNUMBER(J5)),I5*J5,"")</f>
        <v/>
      </c>
      <c r="L5" s="7">
        <f>IF(AND(F5="",K5=""),"",N(F5)+IF(ISNUMBER(K5),K5,0))</f>
        <v/>
      </c>
      <c r="M5" s="6" t="inlineStr"/>
    </row>
    <row r="6">
      <c r="A6" s="9" t="n">
        <v>46034</v>
      </c>
      <c r="B6" s="10" t="inlineStr">
        <is>
          <t>123 Maple St</t>
        </is>
      </c>
      <c r="C6" s="10" t="inlineStr">
        <is>
          <t>Supplies</t>
        </is>
      </c>
      <c r="D6" s="10" t="inlineStr">
        <is>
          <t>Home Depot</t>
        </is>
      </c>
      <c r="E6" s="10" t="inlineStr">
        <is>
          <t>Air filters, light bulbs</t>
        </is>
      </c>
      <c r="F6" s="11" t="n">
        <v>34.18</v>
      </c>
      <c r="G6" s="10" t="inlineStr">
        <is>
          <t>Cash</t>
        </is>
      </c>
      <c r="H6" s="10" t="inlineStr"/>
      <c r="I6" s="12" t="n"/>
      <c r="J6" s="11" t="n"/>
      <c r="K6" s="11">
        <f>IF(AND(ISNUMBER(I6),ISNUMBER(J6)),I6*J6,"")</f>
        <v/>
      </c>
      <c r="L6" s="11">
        <f>IF(AND(F6="",K6=""),"",N(F6)+IF(ISNUMBER(K6),K6,0))</f>
        <v/>
      </c>
      <c r="M6" s="10" t="inlineStr">
        <is>
          <t>Missing receipt</t>
        </is>
      </c>
    </row>
    <row r="7">
      <c r="A7" s="5" t="n">
        <v>46036</v>
      </c>
      <c r="B7" s="6" t="inlineStr">
        <is>
          <t>456 Oak Ave</t>
        </is>
      </c>
      <c r="C7" s="6" t="inlineStr">
        <is>
          <t>Maintenance Expenses</t>
        </is>
      </c>
      <c r="D7" s="6" t="inlineStr">
        <is>
          <t>GreenLawn LLC</t>
        </is>
      </c>
      <c r="E7" s="6" t="inlineStr">
        <is>
          <t>Snow removal</t>
        </is>
      </c>
      <c r="F7" s="7" t="n">
        <v>60</v>
      </c>
      <c r="G7" s="6" t="inlineStr">
        <is>
          <t>Check</t>
        </is>
      </c>
      <c r="H7" s="6" t="inlineStr">
        <is>
          <t>RCPT-1006</t>
        </is>
      </c>
      <c r="I7" s="8" t="n"/>
      <c r="J7" s="7" t="n"/>
      <c r="K7" s="7">
        <f>IF(AND(ISNUMBER(I7),ISNUMBER(J7)),I7*J7,"")</f>
        <v/>
      </c>
      <c r="L7" s="7">
        <f>IF(AND(F7="",K7=""),"",N(F7)+IF(ISNUMBER(K7),K7,0))</f>
        <v/>
      </c>
      <c r="M7" s="6" t="inlineStr"/>
    </row>
    <row r="8">
      <c r="A8" s="9" t="n">
        <v>46038</v>
      </c>
      <c r="B8" s="10" t="inlineStr">
        <is>
          <t>789 Pine Rd</t>
        </is>
      </c>
      <c r="C8" s="10" t="inlineStr">
        <is>
          <t>Insurance</t>
        </is>
      </c>
      <c r="D8" s="10" t="inlineStr">
        <is>
          <t>Allstate</t>
        </is>
      </c>
      <c r="E8" s="10" t="inlineStr">
        <is>
          <t>Landlord policy Jan</t>
        </is>
      </c>
      <c r="F8" s="11" t="n">
        <v>96</v>
      </c>
      <c r="G8" s="10" t="inlineStr">
        <is>
          <t>Bank Transfer</t>
        </is>
      </c>
      <c r="H8" s="10" t="inlineStr">
        <is>
          <t>RCPT-1007</t>
        </is>
      </c>
      <c r="I8" s="12" t="n"/>
      <c r="J8" s="11" t="n"/>
      <c r="K8" s="11">
        <f>IF(AND(ISNUMBER(I8),ISNUMBER(J8)),I8*J8,"")</f>
        <v/>
      </c>
      <c r="L8" s="11">
        <f>IF(AND(F8="",K8=""),"",N(F8)+IF(ISNUMBER(K8),K8,0))</f>
        <v/>
      </c>
      <c r="M8" s="10" t="inlineStr"/>
    </row>
    <row r="9">
      <c r="A9" s="5" t="n">
        <v>46042</v>
      </c>
      <c r="B9" s="6" t="inlineStr">
        <is>
          <t>123 Maple St</t>
        </is>
      </c>
      <c r="C9" s="6" t="inlineStr">
        <is>
          <t>Advertising Costs</t>
        </is>
      </c>
      <c r="D9" s="6" t="inlineStr">
        <is>
          <t>Zillow</t>
        </is>
      </c>
      <c r="E9" s="6" t="inlineStr">
        <is>
          <t>Listing promotion</t>
        </is>
      </c>
      <c r="F9" s="7" t="n">
        <v>29.99</v>
      </c>
      <c r="G9" s="6" t="inlineStr">
        <is>
          <t>Credit Card</t>
        </is>
      </c>
      <c r="H9" s="6" t="inlineStr"/>
      <c r="I9" s="8" t="n"/>
      <c r="J9" s="7" t="n"/>
      <c r="K9" s="7">
        <f>IF(AND(ISNUMBER(I9),ISNUMBER(J9)),I9*J9,"")</f>
        <v/>
      </c>
      <c r="L9" s="7">
        <f>IF(AND(F9="",K9=""),"",N(F9)+IF(ISNUMBER(K9),K9,0))</f>
        <v/>
      </c>
      <c r="M9" s="6" t="inlineStr">
        <is>
          <t>Missing receipt</t>
        </is>
      </c>
    </row>
    <row r="10">
      <c r="A10" s="9" t="n">
        <v>46044</v>
      </c>
      <c r="B10" s="10" t="inlineStr">
        <is>
          <t>456 Oak Ave</t>
        </is>
      </c>
      <c r="C10" s="10" t="inlineStr">
        <is>
          <t>Repairs</t>
        </is>
      </c>
      <c r="D10" s="10" t="inlineStr">
        <is>
          <t>Bob's Plumbing</t>
        </is>
      </c>
      <c r="E10" s="10" t="inlineStr">
        <is>
          <t>Leaking pipe repair</t>
        </is>
      </c>
      <c r="F10" s="11" t="n">
        <v>210</v>
      </c>
      <c r="G10" s="10" t="inlineStr">
        <is>
          <t>Check</t>
        </is>
      </c>
      <c r="H10" s="10" t="inlineStr">
        <is>
          <t>RCPT-1009</t>
        </is>
      </c>
      <c r="I10" s="12" t="n"/>
      <c r="J10" s="11" t="n"/>
      <c r="K10" s="11">
        <f>IF(AND(ISNUMBER(I10),ISNUMBER(J10)),I10*J10,"")</f>
        <v/>
      </c>
      <c r="L10" s="11">
        <f>IF(AND(F10="",K10=""),"",N(F10)+IF(ISNUMBER(K10),K10,0))</f>
        <v/>
      </c>
      <c r="M10" s="10" t="inlineStr"/>
    </row>
    <row r="11">
      <c r="A11" s="5" t="n">
        <v>46047</v>
      </c>
      <c r="B11" s="6" t="inlineStr">
        <is>
          <t>789 Pine Rd</t>
        </is>
      </c>
      <c r="C11" s="6" t="inlineStr">
        <is>
          <t>Legal and Professional Fees</t>
        </is>
      </c>
      <c r="D11" s="6" t="inlineStr">
        <is>
          <t>Nguyen CPA</t>
        </is>
      </c>
      <c r="E11" s="6" t="inlineStr">
        <is>
          <t>Tax prep consult</t>
        </is>
      </c>
      <c r="F11" s="7" t="n">
        <v>150</v>
      </c>
      <c r="G11" s="6" t="inlineStr">
        <is>
          <t>Bank Transfer</t>
        </is>
      </c>
      <c r="H11" s="6" t="inlineStr">
        <is>
          <t>RCPT-1010</t>
        </is>
      </c>
      <c r="I11" s="8" t="n"/>
      <c r="J11" s="7" t="n"/>
      <c r="K11" s="7">
        <f>IF(AND(ISNUMBER(I11),ISNUMBER(J11)),I11*J11,"")</f>
        <v/>
      </c>
      <c r="L11" s="7">
        <f>IF(AND(F11="",K11=""),"",N(F11)+IF(ISNUMBER(K11),K11,0))</f>
        <v/>
      </c>
      <c r="M11" s="6" t="inlineStr"/>
    </row>
    <row r="12">
      <c r="A12" s="9" t="n">
        <v>46050</v>
      </c>
      <c r="B12" s="10" t="inlineStr">
        <is>
          <t>123 Maple St</t>
        </is>
      </c>
      <c r="C12" s="10" t="inlineStr">
        <is>
          <t>Mortgage Interest</t>
        </is>
      </c>
      <c r="D12" s="10" t="inlineStr">
        <is>
          <t>First National Bank</t>
        </is>
      </c>
      <c r="E12" s="10" t="inlineStr">
        <is>
          <t>Jan interest portion</t>
        </is>
      </c>
      <c r="F12" s="11" t="n">
        <v>512.33</v>
      </c>
      <c r="G12" s="10" t="inlineStr">
        <is>
          <t>Bank Transfer</t>
        </is>
      </c>
      <c r="H12" s="10" t="inlineStr">
        <is>
          <t>RCPT-1011</t>
        </is>
      </c>
      <c r="I12" s="12" t="n"/>
      <c r="J12" s="11" t="n"/>
      <c r="K12" s="11">
        <f>IF(AND(ISNUMBER(I12),ISNUMBER(J12)),I12*J12,"")</f>
        <v/>
      </c>
      <c r="L12" s="11">
        <f>IF(AND(F12="",K12=""),"",N(F12)+IF(ISNUMBER(K12),K12,0))</f>
        <v/>
      </c>
      <c r="M12" s="10" t="inlineStr"/>
    </row>
    <row r="13">
      <c r="A13" s="5" t="n">
        <v>46052</v>
      </c>
      <c r="B13" s="6" t="inlineStr">
        <is>
          <t>456 Oak Ave</t>
        </is>
      </c>
      <c r="C13" s="6" t="inlineStr">
        <is>
          <t>Travel Expenses</t>
        </is>
      </c>
      <c r="D13" s="6" t="inlineStr">
        <is>
          <t>Personal Vehicle</t>
        </is>
      </c>
      <c r="E13" s="6" t="inlineStr">
        <is>
          <t>Site visit mileage 40mi</t>
        </is>
      </c>
      <c r="F13" s="7" t="n">
        <v>26.8</v>
      </c>
      <c r="G13" s="6" t="inlineStr">
        <is>
          <t>Cash</t>
        </is>
      </c>
      <c r="H13" s="6" t="inlineStr">
        <is>
          <t>RCPT-1012</t>
        </is>
      </c>
      <c r="I13" s="8" t="n">
        <v>1</v>
      </c>
      <c r="J13" s="7" t="n">
        <v>30</v>
      </c>
      <c r="K13" s="7">
        <f>IF(AND(ISNUMBER(I13),ISNUMBER(J13)),I13*J13,"")</f>
        <v/>
      </c>
      <c r="L13" s="7">
        <f>IF(AND(F13="",K13=""),"",N(F13)+IF(ISNUMBER(K13),K13,0))</f>
        <v/>
      </c>
      <c r="M13" s="6" t="inlineStr">
        <is>
          <t>IRS mileage</t>
        </is>
      </c>
    </row>
    <row r="14">
      <c r="A14" s="9" t="n">
        <v>46055</v>
      </c>
      <c r="B14" s="10" t="inlineStr">
        <is>
          <t>789 Pine Rd</t>
        </is>
      </c>
      <c r="C14" s="10" t="inlineStr">
        <is>
          <t>Cleaning Expenses</t>
        </is>
      </c>
      <c r="D14" s="10" t="inlineStr">
        <is>
          <t>SparkleClean Co</t>
        </is>
      </c>
      <c r="E14" s="10" t="inlineStr">
        <is>
          <t>Common area clean</t>
        </is>
      </c>
      <c r="F14" s="11" t="n">
        <v>110</v>
      </c>
      <c r="G14" s="10" t="inlineStr">
        <is>
          <t>Credit Card</t>
        </is>
      </c>
      <c r="H14" s="10" t="inlineStr">
        <is>
          <t>RCPT-1013</t>
        </is>
      </c>
      <c r="I14" s="12" t="n"/>
      <c r="J14" s="11" t="n"/>
      <c r="K14" s="11">
        <f>IF(AND(ISNUMBER(I14),ISNUMBER(J14)),I14*J14,"")</f>
        <v/>
      </c>
      <c r="L14" s="11">
        <f>IF(AND(F14="",K14=""),"",N(F14)+IF(ISNUMBER(K14),K14,0))</f>
        <v/>
      </c>
      <c r="M14" s="10" t="inlineStr"/>
    </row>
    <row r="15">
      <c r="A15" s="5" t="n">
        <v>46057</v>
      </c>
      <c r="B15" s="6" t="inlineStr">
        <is>
          <t>123 Maple St</t>
        </is>
      </c>
      <c r="C15" s="6" t="inlineStr">
        <is>
          <t>Property Taxes</t>
        </is>
      </c>
      <c r="D15" s="6" t="inlineStr">
        <is>
          <t>Sangamon County</t>
        </is>
      </c>
      <c r="E15" s="6" t="inlineStr">
        <is>
          <t>Q1 property tax</t>
        </is>
      </c>
      <c r="F15" s="7" t="n">
        <v>640</v>
      </c>
      <c r="G15" s="6" t="inlineStr">
        <is>
          <t>Bank Transfer</t>
        </is>
      </c>
      <c r="H15" s="6" t="inlineStr">
        <is>
          <t>RCPT-1014</t>
        </is>
      </c>
      <c r="I15" s="8" t="n"/>
      <c r="J15" s="7" t="n"/>
      <c r="K15" s="7">
        <f>IF(AND(ISNUMBER(I15),ISNUMBER(J15)),I15*J15,"")</f>
        <v/>
      </c>
      <c r="L15" s="7">
        <f>IF(AND(F15="",K15=""),"",N(F15)+IF(ISNUMBER(K15),K15,0))</f>
        <v/>
      </c>
      <c r="M15" s="6" t="inlineStr"/>
    </row>
    <row r="16">
      <c r="A16" s="9" t="n">
        <v>46059</v>
      </c>
      <c r="B16" s="10" t="inlineStr">
        <is>
          <t>456 Oak Ave</t>
        </is>
      </c>
      <c r="C16" s="10" t="inlineStr">
        <is>
          <t>Utilities</t>
        </is>
      </c>
      <c r="D16" s="10" t="inlineStr">
        <is>
          <t>Alliant Energy</t>
        </is>
      </c>
      <c r="E16" s="10" t="inlineStr">
        <is>
          <t>Gas/electric Jan</t>
        </is>
      </c>
      <c r="F16" s="11" t="n">
        <v>134.55</v>
      </c>
      <c r="G16" s="10" t="inlineStr">
        <is>
          <t>Bank Transfer</t>
        </is>
      </c>
      <c r="H16" s="10" t="inlineStr">
        <is>
          <t>RCPT-1015</t>
        </is>
      </c>
      <c r="I16" s="12" t="n"/>
      <c r="J16" s="11" t="n"/>
      <c r="K16" s="11">
        <f>IF(AND(ISNUMBER(I16),ISNUMBER(J16)),I16*J16,"")</f>
        <v/>
      </c>
      <c r="L16" s="11">
        <f>IF(AND(F16="",K16=""),"",N(F16)+IF(ISNUMBER(K16),K16,0))</f>
        <v/>
      </c>
      <c r="M16" s="10" t="inlineStr"/>
    </row>
    <row r="17">
      <c r="A17" s="5" t="n">
        <v>46062</v>
      </c>
      <c r="B17" s="6" t="inlineStr">
        <is>
          <t>789 Pine Rd</t>
        </is>
      </c>
      <c r="C17" s="6" t="inlineStr">
        <is>
          <t>Maintenance Expenses</t>
        </is>
      </c>
      <c r="D17" s="6" t="inlineStr">
        <is>
          <t>Handyman Joe</t>
        </is>
      </c>
      <c r="E17" s="6" t="inlineStr">
        <is>
          <t>HVAC filter + tune</t>
        </is>
      </c>
      <c r="F17" s="7" t="n">
        <v>85</v>
      </c>
      <c r="G17" s="6" t="inlineStr">
        <is>
          <t>Check</t>
        </is>
      </c>
      <c r="H17" s="6" t="inlineStr"/>
      <c r="I17" s="8" t="n">
        <v>2</v>
      </c>
      <c r="J17" s="7" t="n">
        <v>40</v>
      </c>
      <c r="K17" s="7">
        <f>IF(AND(ISNUMBER(I17),ISNUMBER(J17)),I17*J17,"")</f>
        <v/>
      </c>
      <c r="L17" s="7">
        <f>IF(AND(F17="",K17=""),"",N(F17)+IF(ISNUMBER(K17),K17,0))</f>
        <v/>
      </c>
      <c r="M17" s="6" t="inlineStr">
        <is>
          <t>Missing receipt; labor logged</t>
        </is>
      </c>
    </row>
    <row r="18">
      <c r="A18" s="9" t="n">
        <v>46064</v>
      </c>
      <c r="B18" s="10" t="inlineStr">
        <is>
          <t>123 Maple St</t>
        </is>
      </c>
      <c r="C18" s="10" t="inlineStr">
        <is>
          <t>Repairs</t>
        </is>
      </c>
      <c r="D18" s="10" t="inlineStr">
        <is>
          <t>Ace Hardware</t>
        </is>
      </c>
      <c r="E18" s="10" t="inlineStr">
        <is>
          <t>Drywall patch materials</t>
        </is>
      </c>
      <c r="F18" s="11" t="n">
        <v>47.6</v>
      </c>
      <c r="G18" s="10" t="inlineStr">
        <is>
          <t>Credit Card</t>
        </is>
      </c>
      <c r="H18" s="10" t="inlineStr">
        <is>
          <t>RCPT-1017</t>
        </is>
      </c>
      <c r="I18" s="12" t="n">
        <v>3</v>
      </c>
      <c r="J18" s="11" t="n">
        <v>45</v>
      </c>
      <c r="K18" s="11">
        <f>IF(AND(ISNUMBER(I18),ISNUMBER(J18)),I18*J18,"")</f>
        <v/>
      </c>
      <c r="L18" s="11">
        <f>IF(AND(F18="",K18=""),"",N(F18)+IF(ISNUMBER(K18),K18,0))</f>
        <v/>
      </c>
      <c r="M18" s="10" t="inlineStr">
        <is>
          <t>Self-performed repair</t>
        </is>
      </c>
    </row>
    <row r="19">
      <c r="A19" s="5" t="n">
        <v>46067</v>
      </c>
      <c r="B19" s="6" t="inlineStr">
        <is>
          <t>456 Oak Ave</t>
        </is>
      </c>
      <c r="C19" s="6" t="inlineStr">
        <is>
          <t>Advertising Costs</t>
        </is>
      </c>
      <c r="D19" s="6" t="inlineStr">
        <is>
          <t>Facebook Ads</t>
        </is>
      </c>
      <c r="E19" s="6" t="inlineStr">
        <is>
          <t>Vacancy ad campaign</t>
        </is>
      </c>
      <c r="F19" s="7" t="n">
        <v>45</v>
      </c>
      <c r="G19" s="6" t="inlineStr">
        <is>
          <t>Credit Card</t>
        </is>
      </c>
      <c r="H19" s="6" t="inlineStr">
        <is>
          <t>RCPT-1018</t>
        </is>
      </c>
      <c r="I19" s="8" t="n"/>
      <c r="J19" s="7" t="n"/>
      <c r="K19" s="7">
        <f>IF(AND(ISNUMBER(I19),ISNUMBER(J19)),I19*J19,"")</f>
        <v/>
      </c>
      <c r="L19" s="7">
        <f>IF(AND(F19="",K19=""),"",N(F19)+IF(ISNUMBER(K19),K19,0))</f>
        <v/>
      </c>
      <c r="M19" s="6" t="inlineStr"/>
    </row>
    <row r="20">
      <c r="A20" s="9" t="n">
        <v>46070</v>
      </c>
      <c r="B20" s="10" t="inlineStr">
        <is>
          <t>789 Pine Rd</t>
        </is>
      </c>
      <c r="C20" s="10" t="inlineStr">
        <is>
          <t>Property Management Fees</t>
        </is>
      </c>
      <c r="D20" s="10" t="inlineStr">
        <is>
          <t>Summit PM</t>
        </is>
      </c>
      <c r="E20" s="10" t="inlineStr">
        <is>
          <t>Feb management 8%</t>
        </is>
      </c>
      <c r="F20" s="11" t="n">
        <v>140</v>
      </c>
      <c r="G20" s="10" t="inlineStr">
        <is>
          <t>Bank Transfer</t>
        </is>
      </c>
      <c r="H20" s="10" t="inlineStr">
        <is>
          <t>RCPT-1019</t>
        </is>
      </c>
      <c r="I20" s="12" t="n"/>
      <c r="J20" s="11" t="n"/>
      <c r="K20" s="11">
        <f>IF(AND(ISNUMBER(I20),ISNUMBER(J20)),I20*J20,"")</f>
        <v/>
      </c>
      <c r="L20" s="11">
        <f>IF(AND(F20="",K20=""),"",N(F20)+IF(ISNUMBER(K20),K20,0))</f>
        <v/>
      </c>
      <c r="M20" s="10" t="inlineStr"/>
    </row>
    <row r="21">
      <c r="A21" s="5" t="n">
        <v>46073</v>
      </c>
      <c r="B21" s="6" t="inlineStr">
        <is>
          <t>123 Maple St</t>
        </is>
      </c>
      <c r="C21" s="6" t="inlineStr">
        <is>
          <t>Supplies</t>
        </is>
      </c>
      <c r="D21" s="6" t="inlineStr">
        <is>
          <t>Amazon</t>
        </is>
      </c>
      <c r="E21" s="6" t="inlineStr">
        <is>
          <t>Smoke detectors (2)</t>
        </is>
      </c>
      <c r="F21" s="7" t="n">
        <v>38.98</v>
      </c>
      <c r="G21" s="6" t="inlineStr">
        <is>
          <t>Credit Card</t>
        </is>
      </c>
      <c r="H21" s="6" t="inlineStr">
        <is>
          <t>RCPT-1020</t>
        </is>
      </c>
      <c r="I21" s="8" t="n"/>
      <c r="J21" s="7" t="n"/>
      <c r="K21" s="7">
        <f>IF(AND(ISNUMBER(I21),ISNUMBER(J21)),I21*J21,"")</f>
        <v/>
      </c>
      <c r="L21" s="7">
        <f>IF(AND(F21="",K21=""),"",N(F21)+IF(ISNUMBER(K21),K21,0))</f>
        <v/>
      </c>
      <c r="M21" s="6" t="inlineStr"/>
    </row>
    <row r="22">
      <c r="A22" s="9" t="n">
        <v>46076</v>
      </c>
      <c r="B22" s="10" t="inlineStr">
        <is>
          <t>456 Oak Ave</t>
        </is>
      </c>
      <c r="C22" s="10" t="inlineStr">
        <is>
          <t>Insurance</t>
        </is>
      </c>
      <c r="D22" s="10" t="inlineStr">
        <is>
          <t>State Farm</t>
        </is>
      </c>
      <c r="E22" s="10" t="inlineStr">
        <is>
          <t>Landlord policy Feb</t>
        </is>
      </c>
      <c r="F22" s="11" t="n">
        <v>102</v>
      </c>
      <c r="G22" s="10" t="inlineStr">
        <is>
          <t>Bank Transfer</t>
        </is>
      </c>
      <c r="H22" s="10" t="inlineStr">
        <is>
          <t>RCPT-1021</t>
        </is>
      </c>
      <c r="I22" s="12" t="n"/>
      <c r="J22" s="11" t="n"/>
      <c r="K22" s="11">
        <f>IF(AND(ISNUMBER(I22),ISNUMBER(J22)),I22*J22,"")</f>
        <v/>
      </c>
      <c r="L22" s="11">
        <f>IF(AND(F22="",K22=""),"",N(F22)+IF(ISNUMBER(K22),K22,0))</f>
        <v/>
      </c>
      <c r="M22" s="10" t="inlineStr"/>
    </row>
    <row r="23">
      <c r="A23" s="5" t="n">
        <v>46078</v>
      </c>
      <c r="B23" s="6" t="inlineStr">
        <is>
          <t>789 Pine Rd</t>
        </is>
      </c>
      <c r="C23" s="6" t="inlineStr">
        <is>
          <t>Other Miscellaneous Expenses</t>
        </is>
      </c>
      <c r="D23" s="6" t="inlineStr">
        <is>
          <t>HOA</t>
        </is>
      </c>
      <c r="E23" s="6" t="inlineStr">
        <is>
          <t>Condo HOA dues</t>
        </is>
      </c>
      <c r="F23" s="7" t="n">
        <v>220</v>
      </c>
      <c r="G23" s="6" t="inlineStr">
        <is>
          <t>Bank Transfer</t>
        </is>
      </c>
      <c r="H23" s="6" t="inlineStr">
        <is>
          <t>RCPT-1022</t>
        </is>
      </c>
      <c r="I23" s="8" t="n"/>
      <c r="J23" s="7" t="n"/>
      <c r="K23" s="7">
        <f>IF(AND(ISNUMBER(I23),ISNUMBER(J23)),I23*J23,"")</f>
        <v/>
      </c>
      <c r="L23" s="7">
        <f>IF(AND(F23="",K23=""),"",N(F23)+IF(ISNUMBER(K23),K23,0))</f>
        <v/>
      </c>
      <c r="M23" s="6" t="inlineStr"/>
    </row>
    <row r="24">
      <c r="A24" s="9" t="n">
        <v>46080</v>
      </c>
      <c r="B24" s="10" t="inlineStr">
        <is>
          <t>123 Maple St</t>
        </is>
      </c>
      <c r="C24" s="10" t="inlineStr">
        <is>
          <t>Mortgage Interest</t>
        </is>
      </c>
      <c r="D24" s="10" t="inlineStr">
        <is>
          <t>First National Bank</t>
        </is>
      </c>
      <c r="E24" s="10" t="inlineStr">
        <is>
          <t>Feb interest portion</t>
        </is>
      </c>
      <c r="F24" s="11" t="n">
        <v>509.1</v>
      </c>
      <c r="G24" s="10" t="inlineStr">
        <is>
          <t>Bank Transfer</t>
        </is>
      </c>
      <c r="H24" s="10" t="inlineStr">
        <is>
          <t>RCPT-1023</t>
        </is>
      </c>
      <c r="I24" s="12" t="n"/>
      <c r="J24" s="11" t="n"/>
      <c r="K24" s="11">
        <f>IF(AND(ISNUMBER(I24),ISNUMBER(J24)),I24*J24,"")</f>
        <v/>
      </c>
      <c r="L24" s="11">
        <f>IF(AND(F24="",K24=""),"",N(F24)+IF(ISNUMBER(K24),K24,0))</f>
        <v/>
      </c>
      <c r="M24" s="10" t="inlineStr"/>
    </row>
    <row r="25">
      <c r="A25" s="5" t="n">
        <v>46081</v>
      </c>
      <c r="B25" s="6" t="inlineStr">
        <is>
          <t>456 Oak Ave</t>
        </is>
      </c>
      <c r="C25" s="6" t="inlineStr">
        <is>
          <t>Cleaning Expenses</t>
        </is>
      </c>
      <c r="D25" s="6" t="inlineStr">
        <is>
          <t>SparkleClean Co</t>
        </is>
      </c>
      <c r="E25" s="6" t="inlineStr">
        <is>
          <t>Unit B turnover clean</t>
        </is>
      </c>
      <c r="F25" s="7" t="n">
        <v>165</v>
      </c>
      <c r="G25" s="6" t="inlineStr">
        <is>
          <t>Check</t>
        </is>
      </c>
      <c r="H25" s="6" t="inlineStr"/>
      <c r="I25" s="8" t="n">
        <v>4</v>
      </c>
      <c r="J25" s="7" t="n">
        <v>25</v>
      </c>
      <c r="K25" s="7">
        <f>IF(AND(ISNUMBER(I25),ISNUMBER(J25)),I25*J25,"")</f>
        <v/>
      </c>
      <c r="L25" s="7">
        <f>IF(AND(F25="",K25=""),"",N(F25)+IF(ISNUMBER(K25),K25,0))</f>
        <v/>
      </c>
      <c r="M25" s="6" t="inlineStr">
        <is>
          <t>Missing receipt; hrs logged</t>
        </is>
      </c>
    </row>
    <row r="26">
      <c r="A26" s="13" t="n"/>
      <c r="B26" s="14" t="n"/>
      <c r="C26" s="14" t="n"/>
      <c r="D26" s="14" t="n"/>
      <c r="E26" s="14" t="n"/>
      <c r="F26" s="15" t="n"/>
      <c r="G26" s="14" t="n"/>
      <c r="H26" s="14" t="n"/>
      <c r="I26" s="14" t="n"/>
      <c r="J26" s="15" t="n"/>
      <c r="K26" s="15">
        <f>IF(AND(ISNUMBER(I26),ISNUMBER(J26)),I26*J26,"")</f>
        <v/>
      </c>
      <c r="L26" s="15">
        <f>IF(AND(F26="",K26=""),"",N(F26)+IF(ISNUMBER(K26),K26,0))</f>
        <v/>
      </c>
      <c r="M26" s="14" t="n"/>
    </row>
    <row r="27">
      <c r="A27" s="13" t="n"/>
      <c r="B27" s="14" t="n"/>
      <c r="C27" s="14" t="n"/>
      <c r="D27" s="14" t="n"/>
      <c r="E27" s="14" t="n"/>
      <c r="F27" s="15" t="n"/>
      <c r="G27" s="14" t="n"/>
      <c r="H27" s="14" t="n"/>
      <c r="I27" s="14" t="n"/>
      <c r="J27" s="15" t="n"/>
      <c r="K27" s="15">
        <f>IF(AND(ISNUMBER(I27),ISNUMBER(J27)),I27*J27,"")</f>
        <v/>
      </c>
      <c r="L27" s="15">
        <f>IF(AND(F27="",K27=""),"",N(F27)+IF(ISNUMBER(K27),K27,0))</f>
        <v/>
      </c>
      <c r="M27" s="14" t="n"/>
    </row>
    <row r="28">
      <c r="A28" s="13" t="n"/>
      <c r="B28" s="14" t="n"/>
      <c r="C28" s="14" t="n"/>
      <c r="D28" s="14" t="n"/>
      <c r="E28" s="14" t="n"/>
      <c r="F28" s="15" t="n"/>
      <c r="G28" s="14" t="n"/>
      <c r="H28" s="14" t="n"/>
      <c r="I28" s="14" t="n"/>
      <c r="J28" s="15" t="n"/>
      <c r="K28" s="15">
        <f>IF(AND(ISNUMBER(I28),ISNUMBER(J28)),I28*J28,"")</f>
        <v/>
      </c>
      <c r="L28" s="15">
        <f>IF(AND(F28="",K28=""),"",N(F28)+IF(ISNUMBER(K28),K28,0))</f>
        <v/>
      </c>
      <c r="M28" s="14" t="n"/>
    </row>
    <row r="29">
      <c r="A29" s="13" t="n"/>
      <c r="B29" s="14" t="n"/>
      <c r="C29" s="14" t="n"/>
      <c r="D29" s="14" t="n"/>
      <c r="E29" s="14" t="n"/>
      <c r="F29" s="15" t="n"/>
      <c r="G29" s="14" t="n"/>
      <c r="H29" s="14" t="n"/>
      <c r="I29" s="14" t="n"/>
      <c r="J29" s="15" t="n"/>
      <c r="K29" s="15">
        <f>IF(AND(ISNUMBER(I29),ISNUMBER(J29)),I29*J29,"")</f>
        <v/>
      </c>
      <c r="L29" s="15">
        <f>IF(AND(F29="",K29=""),"",N(F29)+IF(ISNUMBER(K29),K29,0))</f>
        <v/>
      </c>
      <c r="M29" s="14" t="n"/>
    </row>
    <row r="30">
      <c r="A30" s="13" t="n"/>
      <c r="B30" s="14" t="n"/>
      <c r="C30" s="14" t="n"/>
      <c r="D30" s="14" t="n"/>
      <c r="E30" s="14" t="n"/>
      <c r="F30" s="15" t="n"/>
      <c r="G30" s="14" t="n"/>
      <c r="H30" s="14" t="n"/>
      <c r="I30" s="14" t="n"/>
      <c r="J30" s="15" t="n"/>
      <c r="K30" s="15">
        <f>IF(AND(ISNUMBER(I30),ISNUMBER(J30)),I30*J30,"")</f>
        <v/>
      </c>
      <c r="L30" s="15">
        <f>IF(AND(F30="",K30=""),"",N(F30)+IF(ISNUMBER(K30),K30,0))</f>
        <v/>
      </c>
      <c r="M30" s="14" t="n"/>
    </row>
    <row r="31">
      <c r="A31" s="13" t="n"/>
      <c r="B31" s="14" t="n"/>
      <c r="C31" s="14" t="n"/>
      <c r="D31" s="14" t="n"/>
      <c r="E31" s="14" t="n"/>
      <c r="F31" s="15" t="n"/>
      <c r="G31" s="14" t="n"/>
      <c r="H31" s="14" t="n"/>
      <c r="I31" s="14" t="n"/>
      <c r="J31" s="15" t="n"/>
      <c r="K31" s="15">
        <f>IF(AND(ISNUMBER(I31),ISNUMBER(J31)),I31*J31,"")</f>
        <v/>
      </c>
      <c r="L31" s="15">
        <f>IF(AND(F31="",K31=""),"",N(F31)+IF(ISNUMBER(K31),K31,0))</f>
        <v/>
      </c>
      <c r="M31" s="14" t="n"/>
    </row>
    <row r="32">
      <c r="A32" s="13" t="n"/>
      <c r="B32" s="14" t="n"/>
      <c r="C32" s="14" t="n"/>
      <c r="D32" s="14" t="n"/>
      <c r="E32" s="14" t="n"/>
      <c r="F32" s="15" t="n"/>
      <c r="G32" s="14" t="n"/>
      <c r="H32" s="14" t="n"/>
      <c r="I32" s="14" t="n"/>
      <c r="J32" s="15" t="n"/>
      <c r="K32" s="15">
        <f>IF(AND(ISNUMBER(I32),ISNUMBER(J32)),I32*J32,"")</f>
        <v/>
      </c>
      <c r="L32" s="15">
        <f>IF(AND(F32="",K32=""),"",N(F32)+IF(ISNUMBER(K32),K32,0))</f>
        <v/>
      </c>
      <c r="M32" s="14" t="n"/>
    </row>
    <row r="33">
      <c r="A33" s="13" t="n"/>
      <c r="B33" s="14" t="n"/>
      <c r="C33" s="14" t="n"/>
      <c r="D33" s="14" t="n"/>
      <c r="E33" s="14" t="n"/>
      <c r="F33" s="15" t="n"/>
      <c r="G33" s="14" t="n"/>
      <c r="H33" s="14" t="n"/>
      <c r="I33" s="14" t="n"/>
      <c r="J33" s="15" t="n"/>
      <c r="K33" s="15">
        <f>IF(AND(ISNUMBER(I33),ISNUMBER(J33)),I33*J33,"")</f>
        <v/>
      </c>
      <c r="L33" s="15">
        <f>IF(AND(F33="",K33=""),"",N(F33)+IF(ISNUMBER(K33),K33,0))</f>
        <v/>
      </c>
      <c r="M33" s="14" t="n"/>
    </row>
    <row r="34">
      <c r="A34" s="13" t="n"/>
      <c r="B34" s="14" t="n"/>
      <c r="C34" s="14" t="n"/>
      <c r="D34" s="14" t="n"/>
      <c r="E34" s="14" t="n"/>
      <c r="F34" s="15" t="n"/>
      <c r="G34" s="14" t="n"/>
      <c r="H34" s="14" t="n"/>
      <c r="I34" s="14" t="n"/>
      <c r="J34" s="15" t="n"/>
      <c r="K34" s="15">
        <f>IF(AND(ISNUMBER(I34),ISNUMBER(J34)),I34*J34,"")</f>
        <v/>
      </c>
      <c r="L34" s="15">
        <f>IF(AND(F34="",K34=""),"",N(F34)+IF(ISNUMBER(K34),K34,0))</f>
        <v/>
      </c>
      <c r="M34" s="14" t="n"/>
    </row>
    <row r="35">
      <c r="A35" s="13" t="n"/>
      <c r="B35" s="14" t="n"/>
      <c r="C35" s="14" t="n"/>
      <c r="D35" s="14" t="n"/>
      <c r="E35" s="14" t="n"/>
      <c r="F35" s="15" t="n"/>
      <c r="G35" s="14" t="n"/>
      <c r="H35" s="14" t="n"/>
      <c r="I35" s="14" t="n"/>
      <c r="J35" s="15" t="n"/>
      <c r="K35" s="15">
        <f>IF(AND(ISNUMBER(I35),ISNUMBER(J35)),I35*J35,"")</f>
        <v/>
      </c>
      <c r="L35" s="15">
        <f>IF(AND(F35="",K35=""),"",N(F35)+IF(ISNUMBER(K35),K35,0))</f>
        <v/>
      </c>
      <c r="M35" s="14" t="n"/>
    </row>
    <row r="36">
      <c r="A36" s="13" t="n"/>
      <c r="B36" s="14" t="n"/>
      <c r="C36" s="14" t="n"/>
      <c r="D36" s="14" t="n"/>
      <c r="E36" s="14" t="n"/>
      <c r="F36" s="15" t="n"/>
      <c r="G36" s="14" t="n"/>
      <c r="H36" s="14" t="n"/>
      <c r="I36" s="14" t="n"/>
      <c r="J36" s="15" t="n"/>
      <c r="K36" s="15">
        <f>IF(AND(ISNUMBER(I36),ISNUMBER(J36)),I36*J36,"")</f>
        <v/>
      </c>
      <c r="L36" s="15">
        <f>IF(AND(F36="",K36=""),"",N(F36)+IF(ISNUMBER(K36),K36,0))</f>
        <v/>
      </c>
      <c r="M36" s="14" t="n"/>
    </row>
    <row r="37">
      <c r="A37" s="13" t="n"/>
      <c r="B37" s="14" t="n"/>
      <c r="C37" s="14" t="n"/>
      <c r="D37" s="14" t="n"/>
      <c r="E37" s="14" t="n"/>
      <c r="F37" s="15" t="n"/>
      <c r="G37" s="14" t="n"/>
      <c r="H37" s="14" t="n"/>
      <c r="I37" s="14" t="n"/>
      <c r="J37" s="15" t="n"/>
      <c r="K37" s="15">
        <f>IF(AND(ISNUMBER(I37),ISNUMBER(J37)),I37*J37,"")</f>
        <v/>
      </c>
      <c r="L37" s="15">
        <f>IF(AND(F37="",K37=""),"",N(F37)+IF(ISNUMBER(K37),K37,0))</f>
        <v/>
      </c>
      <c r="M37" s="14" t="n"/>
    </row>
    <row r="38">
      <c r="A38" s="13" t="n"/>
      <c r="B38" s="14" t="n"/>
      <c r="C38" s="14" t="n"/>
      <c r="D38" s="14" t="n"/>
      <c r="E38" s="14" t="n"/>
      <c r="F38" s="15" t="n"/>
      <c r="G38" s="14" t="n"/>
      <c r="H38" s="14" t="n"/>
      <c r="I38" s="14" t="n"/>
      <c r="J38" s="15" t="n"/>
      <c r="K38" s="15">
        <f>IF(AND(ISNUMBER(I38),ISNUMBER(J38)),I38*J38,"")</f>
        <v/>
      </c>
      <c r="L38" s="15">
        <f>IF(AND(F38="",K38=""),"",N(F38)+IF(ISNUMBER(K38),K38,0))</f>
        <v/>
      </c>
      <c r="M38" s="14" t="n"/>
    </row>
    <row r="39">
      <c r="A39" s="13" t="n"/>
      <c r="B39" s="14" t="n"/>
      <c r="C39" s="14" t="n"/>
      <c r="D39" s="14" t="n"/>
      <c r="E39" s="14" t="n"/>
      <c r="F39" s="15" t="n"/>
      <c r="G39" s="14" t="n"/>
      <c r="H39" s="14" t="n"/>
      <c r="I39" s="14" t="n"/>
      <c r="J39" s="15" t="n"/>
      <c r="K39" s="15">
        <f>IF(AND(ISNUMBER(I39),ISNUMBER(J39)),I39*J39,"")</f>
        <v/>
      </c>
      <c r="L39" s="15">
        <f>IF(AND(F39="",K39=""),"",N(F39)+IF(ISNUMBER(K39),K39,0))</f>
        <v/>
      </c>
      <c r="M39" s="14" t="n"/>
    </row>
    <row r="40">
      <c r="A40" s="13" t="n"/>
      <c r="B40" s="14" t="n"/>
      <c r="C40" s="14" t="n"/>
      <c r="D40" s="14" t="n"/>
      <c r="E40" s="14" t="n"/>
      <c r="F40" s="15" t="n"/>
      <c r="G40" s="14" t="n"/>
      <c r="H40" s="14" t="n"/>
      <c r="I40" s="14" t="n"/>
      <c r="J40" s="15" t="n"/>
      <c r="K40" s="15">
        <f>IF(AND(ISNUMBER(I40),ISNUMBER(J40)),I40*J40,"")</f>
        <v/>
      </c>
      <c r="L40" s="15">
        <f>IF(AND(F40="",K40=""),"",N(F40)+IF(ISNUMBER(K40),K40,0))</f>
        <v/>
      </c>
      <c r="M40" s="14" t="n"/>
    </row>
    <row r="41">
      <c r="A41" s="13" t="n"/>
      <c r="B41" s="14" t="n"/>
      <c r="C41" s="14" t="n"/>
      <c r="D41" s="14" t="n"/>
      <c r="E41" s="14" t="n"/>
      <c r="F41" s="15" t="n"/>
      <c r="G41" s="14" t="n"/>
      <c r="H41" s="14" t="n"/>
      <c r="I41" s="14" t="n"/>
      <c r="J41" s="15" t="n"/>
      <c r="K41" s="15">
        <f>IF(AND(ISNUMBER(I41),ISNUMBER(J41)),I41*J41,"")</f>
        <v/>
      </c>
      <c r="L41" s="15">
        <f>IF(AND(F41="",K41=""),"",N(F41)+IF(ISNUMBER(K41),K41,0))</f>
        <v/>
      </c>
      <c r="M41" s="14" t="n"/>
    </row>
    <row r="42">
      <c r="A42" s="13" t="n"/>
      <c r="B42" s="14" t="n"/>
      <c r="C42" s="14" t="n"/>
      <c r="D42" s="14" t="n"/>
      <c r="E42" s="14" t="n"/>
      <c r="F42" s="15" t="n"/>
      <c r="G42" s="14" t="n"/>
      <c r="H42" s="14" t="n"/>
      <c r="I42" s="14" t="n"/>
      <c r="J42" s="15" t="n"/>
      <c r="K42" s="15">
        <f>IF(AND(ISNUMBER(I42),ISNUMBER(J42)),I42*J42,"")</f>
        <v/>
      </c>
      <c r="L42" s="15">
        <f>IF(AND(F42="",K42=""),"",N(F42)+IF(ISNUMBER(K42),K42,0))</f>
        <v/>
      </c>
      <c r="M42" s="14" t="n"/>
    </row>
    <row r="43">
      <c r="A43" s="13" t="n"/>
      <c r="B43" s="14" t="n"/>
      <c r="C43" s="14" t="n"/>
      <c r="D43" s="14" t="n"/>
      <c r="E43" s="14" t="n"/>
      <c r="F43" s="15" t="n"/>
      <c r="G43" s="14" t="n"/>
      <c r="H43" s="14" t="n"/>
      <c r="I43" s="14" t="n"/>
      <c r="J43" s="15" t="n"/>
      <c r="K43" s="15">
        <f>IF(AND(ISNUMBER(I43),ISNUMBER(J43)),I43*J43,"")</f>
        <v/>
      </c>
      <c r="L43" s="15">
        <f>IF(AND(F43="",K43=""),"",N(F43)+IF(ISNUMBER(K43),K43,0))</f>
        <v/>
      </c>
      <c r="M43" s="14" t="n"/>
    </row>
    <row r="44">
      <c r="A44" s="13" t="n"/>
      <c r="B44" s="14" t="n"/>
      <c r="C44" s="14" t="n"/>
      <c r="D44" s="14" t="n"/>
      <c r="E44" s="14" t="n"/>
      <c r="F44" s="15" t="n"/>
      <c r="G44" s="14" t="n"/>
      <c r="H44" s="14" t="n"/>
      <c r="I44" s="14" t="n"/>
      <c r="J44" s="15" t="n"/>
      <c r="K44" s="15">
        <f>IF(AND(ISNUMBER(I44),ISNUMBER(J44)),I44*J44,"")</f>
        <v/>
      </c>
      <c r="L44" s="15">
        <f>IF(AND(F44="",K44=""),"",N(F44)+IF(ISNUMBER(K44),K44,0))</f>
        <v/>
      </c>
      <c r="M44" s="14" t="n"/>
    </row>
    <row r="45">
      <c r="A45" s="13" t="n"/>
      <c r="B45" s="14" t="n"/>
      <c r="C45" s="14" t="n"/>
      <c r="D45" s="14" t="n"/>
      <c r="E45" s="14" t="n"/>
      <c r="F45" s="15" t="n"/>
      <c r="G45" s="14" t="n"/>
      <c r="H45" s="14" t="n"/>
      <c r="I45" s="14" t="n"/>
      <c r="J45" s="15" t="n"/>
      <c r="K45" s="15">
        <f>IF(AND(ISNUMBER(I45),ISNUMBER(J45)),I45*J45,"")</f>
        <v/>
      </c>
      <c r="L45" s="15">
        <f>IF(AND(F45="",K45=""),"",N(F45)+IF(ISNUMBER(K45),K45,0))</f>
        <v/>
      </c>
      <c r="M45" s="14" t="n"/>
    </row>
    <row r="46">
      <c r="A46" s="13" t="n"/>
      <c r="B46" s="14" t="n"/>
      <c r="C46" s="14" t="n"/>
      <c r="D46" s="14" t="n"/>
      <c r="E46" s="14" t="n"/>
      <c r="F46" s="15" t="n"/>
      <c r="G46" s="14" t="n"/>
      <c r="H46" s="14" t="n"/>
      <c r="I46" s="14" t="n"/>
      <c r="J46" s="15" t="n"/>
      <c r="K46" s="15">
        <f>IF(AND(ISNUMBER(I46),ISNUMBER(J46)),I46*J46,"")</f>
        <v/>
      </c>
      <c r="L46" s="15">
        <f>IF(AND(F46="",K46=""),"",N(F46)+IF(ISNUMBER(K46),K46,0))</f>
        <v/>
      </c>
      <c r="M46" s="14" t="n"/>
    </row>
    <row r="47">
      <c r="A47" s="13" t="n"/>
      <c r="B47" s="14" t="n"/>
      <c r="C47" s="14" t="n"/>
      <c r="D47" s="14" t="n"/>
      <c r="E47" s="14" t="n"/>
      <c r="F47" s="15" t="n"/>
      <c r="G47" s="14" t="n"/>
      <c r="H47" s="14" t="n"/>
      <c r="I47" s="14" t="n"/>
      <c r="J47" s="15" t="n"/>
      <c r="K47" s="15">
        <f>IF(AND(ISNUMBER(I47),ISNUMBER(J47)),I47*J47,"")</f>
        <v/>
      </c>
      <c r="L47" s="15">
        <f>IF(AND(F47="",K47=""),"",N(F47)+IF(ISNUMBER(K47),K47,0))</f>
        <v/>
      </c>
      <c r="M47" s="14" t="n"/>
    </row>
    <row r="48">
      <c r="A48" s="13" t="n"/>
      <c r="B48" s="14" t="n"/>
      <c r="C48" s="14" t="n"/>
      <c r="D48" s="14" t="n"/>
      <c r="E48" s="14" t="n"/>
      <c r="F48" s="15" t="n"/>
      <c r="G48" s="14" t="n"/>
      <c r="H48" s="14" t="n"/>
      <c r="I48" s="14" t="n"/>
      <c r="J48" s="15" t="n"/>
      <c r="K48" s="15">
        <f>IF(AND(ISNUMBER(I48),ISNUMBER(J48)),I48*J48,"")</f>
        <v/>
      </c>
      <c r="L48" s="15">
        <f>IF(AND(F48="",K48=""),"",N(F48)+IF(ISNUMBER(K48),K48,0))</f>
        <v/>
      </c>
      <c r="M48" s="14" t="n"/>
    </row>
    <row r="49">
      <c r="A49" s="13" t="n"/>
      <c r="B49" s="14" t="n"/>
      <c r="C49" s="14" t="n"/>
      <c r="D49" s="14" t="n"/>
      <c r="E49" s="14" t="n"/>
      <c r="F49" s="15" t="n"/>
      <c r="G49" s="14" t="n"/>
      <c r="H49" s="14" t="n"/>
      <c r="I49" s="14" t="n"/>
      <c r="J49" s="15" t="n"/>
      <c r="K49" s="15">
        <f>IF(AND(ISNUMBER(I49),ISNUMBER(J49)),I49*J49,"")</f>
        <v/>
      </c>
      <c r="L49" s="15">
        <f>IF(AND(F49="",K49=""),"",N(F49)+IF(ISNUMBER(K49),K49,0))</f>
        <v/>
      </c>
      <c r="M49" s="14" t="n"/>
    </row>
    <row r="50">
      <c r="A50" s="13" t="n"/>
      <c r="B50" s="14" t="n"/>
      <c r="C50" s="14" t="n"/>
      <c r="D50" s="14" t="n"/>
      <c r="E50" s="14" t="n"/>
      <c r="F50" s="15" t="n"/>
      <c r="G50" s="14" t="n"/>
      <c r="H50" s="14" t="n"/>
      <c r="I50" s="14" t="n"/>
      <c r="J50" s="15" t="n"/>
      <c r="K50" s="15">
        <f>IF(AND(ISNUMBER(I50),ISNUMBER(J50)),I50*J50,"")</f>
        <v/>
      </c>
      <c r="L50" s="15">
        <f>IF(AND(F50="",K50=""),"",N(F50)+IF(ISNUMBER(K50),K50,0))</f>
        <v/>
      </c>
      <c r="M50" s="14" t="n"/>
    </row>
    <row r="51">
      <c r="A51" s="13" t="n"/>
      <c r="B51" s="14" t="n"/>
      <c r="C51" s="14" t="n"/>
      <c r="D51" s="14" t="n"/>
      <c r="E51" s="14" t="n"/>
      <c r="F51" s="15" t="n"/>
      <c r="G51" s="14" t="n"/>
      <c r="H51" s="14" t="n"/>
      <c r="I51" s="14" t="n"/>
      <c r="J51" s="15" t="n"/>
      <c r="K51" s="15">
        <f>IF(AND(ISNUMBER(I51),ISNUMBER(J51)),I51*J51,"")</f>
        <v/>
      </c>
      <c r="L51" s="15">
        <f>IF(AND(F51="",K51=""),"",N(F51)+IF(ISNUMBER(K51),K51,0))</f>
        <v/>
      </c>
      <c r="M51" s="14" t="n"/>
    </row>
    <row r="52">
      <c r="A52" s="13" t="n"/>
      <c r="B52" s="14" t="n"/>
      <c r="C52" s="14" t="n"/>
      <c r="D52" s="14" t="n"/>
      <c r="E52" s="14" t="n"/>
      <c r="F52" s="15" t="n"/>
      <c r="G52" s="14" t="n"/>
      <c r="H52" s="14" t="n"/>
      <c r="I52" s="14" t="n"/>
      <c r="J52" s="15" t="n"/>
      <c r="K52" s="15">
        <f>IF(AND(ISNUMBER(I52),ISNUMBER(J52)),I52*J52,"")</f>
        <v/>
      </c>
      <c r="L52" s="15">
        <f>IF(AND(F52="",K52=""),"",N(F52)+IF(ISNUMBER(K52),K52,0))</f>
        <v/>
      </c>
      <c r="M52" s="14" t="n"/>
    </row>
    <row r="53">
      <c r="A53" s="13" t="n"/>
      <c r="B53" s="14" t="n"/>
      <c r="C53" s="14" t="n"/>
      <c r="D53" s="14" t="n"/>
      <c r="E53" s="14" t="n"/>
      <c r="F53" s="15" t="n"/>
      <c r="G53" s="14" t="n"/>
      <c r="H53" s="14" t="n"/>
      <c r="I53" s="14" t="n"/>
      <c r="J53" s="15" t="n"/>
      <c r="K53" s="15">
        <f>IF(AND(ISNUMBER(I53),ISNUMBER(J53)),I53*J53,"")</f>
        <v/>
      </c>
      <c r="L53" s="15">
        <f>IF(AND(F53="",K53=""),"",N(F53)+IF(ISNUMBER(K53),K53,0))</f>
        <v/>
      </c>
      <c r="M53" s="14" t="n"/>
    </row>
    <row r="54">
      <c r="A54" s="13" t="n"/>
      <c r="B54" s="14" t="n"/>
      <c r="C54" s="14" t="n"/>
      <c r="D54" s="14" t="n"/>
      <c r="E54" s="14" t="n"/>
      <c r="F54" s="15" t="n"/>
      <c r="G54" s="14" t="n"/>
      <c r="H54" s="14" t="n"/>
      <c r="I54" s="14" t="n"/>
      <c r="J54" s="15" t="n"/>
      <c r="K54" s="15">
        <f>IF(AND(ISNUMBER(I54),ISNUMBER(J54)),I54*J54,"")</f>
        <v/>
      </c>
      <c r="L54" s="15">
        <f>IF(AND(F54="",K54=""),"",N(F54)+IF(ISNUMBER(K54),K54,0))</f>
        <v/>
      </c>
      <c r="M54" s="14" t="n"/>
    </row>
    <row r="55">
      <c r="A55" s="13" t="n"/>
      <c r="B55" s="14" t="n"/>
      <c r="C55" s="14" t="n"/>
      <c r="D55" s="14" t="n"/>
      <c r="E55" s="14" t="n"/>
      <c r="F55" s="15" t="n"/>
      <c r="G55" s="14" t="n"/>
      <c r="H55" s="14" t="n"/>
      <c r="I55" s="14" t="n"/>
      <c r="J55" s="15" t="n"/>
      <c r="K55" s="15">
        <f>IF(AND(ISNUMBER(I55),ISNUMBER(J55)),I55*J55,"")</f>
        <v/>
      </c>
      <c r="L55" s="15">
        <f>IF(AND(F55="",K55=""),"",N(F55)+IF(ISNUMBER(K55),K55,0))</f>
        <v/>
      </c>
      <c r="M55" s="14" t="n"/>
    </row>
    <row r="56">
      <c r="A56" s="13" t="n"/>
      <c r="B56" s="14" t="n"/>
      <c r="C56" s="14" t="n"/>
      <c r="D56" s="14" t="n"/>
      <c r="E56" s="14" t="n"/>
      <c r="F56" s="15" t="n"/>
      <c r="G56" s="14" t="n"/>
      <c r="H56" s="14" t="n"/>
      <c r="I56" s="14" t="n"/>
      <c r="J56" s="15" t="n"/>
      <c r="K56" s="15">
        <f>IF(AND(ISNUMBER(I56),ISNUMBER(J56)),I56*J56,"")</f>
        <v/>
      </c>
      <c r="L56" s="15">
        <f>IF(AND(F56="",K56=""),"",N(F56)+IF(ISNUMBER(K56),K56,0))</f>
        <v/>
      </c>
      <c r="M56" s="14" t="n"/>
    </row>
    <row r="57">
      <c r="A57" s="13" t="n"/>
      <c r="B57" s="14" t="n"/>
      <c r="C57" s="14" t="n"/>
      <c r="D57" s="14" t="n"/>
      <c r="E57" s="14" t="n"/>
      <c r="F57" s="15" t="n"/>
      <c r="G57" s="14" t="n"/>
      <c r="H57" s="14" t="n"/>
      <c r="I57" s="14" t="n"/>
      <c r="J57" s="15" t="n"/>
      <c r="K57" s="15">
        <f>IF(AND(ISNUMBER(I57),ISNUMBER(J57)),I57*J57,"")</f>
        <v/>
      </c>
      <c r="L57" s="15">
        <f>IF(AND(F57="",K57=""),"",N(F57)+IF(ISNUMBER(K57),K57,0))</f>
        <v/>
      </c>
      <c r="M57" s="14" t="n"/>
    </row>
    <row r="58">
      <c r="A58" s="13" t="n"/>
      <c r="B58" s="14" t="n"/>
      <c r="C58" s="14" t="n"/>
      <c r="D58" s="14" t="n"/>
      <c r="E58" s="14" t="n"/>
      <c r="F58" s="15" t="n"/>
      <c r="G58" s="14" t="n"/>
      <c r="H58" s="14" t="n"/>
      <c r="I58" s="14" t="n"/>
      <c r="J58" s="15" t="n"/>
      <c r="K58" s="15">
        <f>IF(AND(ISNUMBER(I58),ISNUMBER(J58)),I58*J58,"")</f>
        <v/>
      </c>
      <c r="L58" s="15">
        <f>IF(AND(F58="",K58=""),"",N(F58)+IF(ISNUMBER(K58),K58,0))</f>
        <v/>
      </c>
      <c r="M58" s="14" t="n"/>
    </row>
    <row r="59">
      <c r="A59" s="13" t="n"/>
      <c r="B59" s="14" t="n"/>
      <c r="C59" s="14" t="n"/>
      <c r="D59" s="14" t="n"/>
      <c r="E59" s="14" t="n"/>
      <c r="F59" s="15" t="n"/>
      <c r="G59" s="14" t="n"/>
      <c r="H59" s="14" t="n"/>
      <c r="I59" s="14" t="n"/>
      <c r="J59" s="15" t="n"/>
      <c r="K59" s="15">
        <f>IF(AND(ISNUMBER(I59),ISNUMBER(J59)),I59*J59,"")</f>
        <v/>
      </c>
      <c r="L59" s="15">
        <f>IF(AND(F59="",K59=""),"",N(F59)+IF(ISNUMBER(K59),K59,0))</f>
        <v/>
      </c>
      <c r="M59" s="14" t="n"/>
    </row>
    <row r="60">
      <c r="A60" s="13" t="n"/>
      <c r="B60" s="14" t="n"/>
      <c r="C60" s="14" t="n"/>
      <c r="D60" s="14" t="n"/>
      <c r="E60" s="14" t="n"/>
      <c r="F60" s="15" t="n"/>
      <c r="G60" s="14" t="n"/>
      <c r="H60" s="14" t="n"/>
      <c r="I60" s="14" t="n"/>
      <c r="J60" s="15" t="n"/>
      <c r="K60" s="15">
        <f>IF(AND(ISNUMBER(I60),ISNUMBER(J60)),I60*J60,"")</f>
        <v/>
      </c>
      <c r="L60" s="15">
        <f>IF(AND(F60="",K60=""),"",N(F60)+IF(ISNUMBER(K60),K60,0))</f>
        <v/>
      </c>
      <c r="M60" s="14" t="n"/>
    </row>
    <row r="61">
      <c r="A61" s="13" t="n"/>
      <c r="B61" s="14" t="n"/>
      <c r="C61" s="14" t="n"/>
      <c r="D61" s="14" t="n"/>
      <c r="E61" s="14" t="n"/>
      <c r="F61" s="15" t="n"/>
      <c r="G61" s="14" t="n"/>
      <c r="H61" s="14" t="n"/>
      <c r="I61" s="14" t="n"/>
      <c r="J61" s="15" t="n"/>
      <c r="K61" s="15">
        <f>IF(AND(ISNUMBER(I61),ISNUMBER(J61)),I61*J61,"")</f>
        <v/>
      </c>
      <c r="L61" s="15">
        <f>IF(AND(F61="",K61=""),"",N(F61)+IF(ISNUMBER(K61),K61,0))</f>
        <v/>
      </c>
      <c r="M61" s="14" t="n"/>
    </row>
    <row r="62">
      <c r="A62" s="13" t="n"/>
      <c r="B62" s="14" t="n"/>
      <c r="C62" s="14" t="n"/>
      <c r="D62" s="14" t="n"/>
      <c r="E62" s="14" t="n"/>
      <c r="F62" s="15" t="n"/>
      <c r="G62" s="14" t="n"/>
      <c r="H62" s="14" t="n"/>
      <c r="I62" s="14" t="n"/>
      <c r="J62" s="15" t="n"/>
      <c r="K62" s="15">
        <f>IF(AND(ISNUMBER(I62),ISNUMBER(J62)),I62*J62,"")</f>
        <v/>
      </c>
      <c r="L62" s="15">
        <f>IF(AND(F62="",K62=""),"",N(F62)+IF(ISNUMBER(K62),K62,0))</f>
        <v/>
      </c>
      <c r="M62" s="14" t="n"/>
    </row>
    <row r="63">
      <c r="A63" s="13" t="n"/>
      <c r="B63" s="14" t="n"/>
      <c r="C63" s="14" t="n"/>
      <c r="D63" s="14" t="n"/>
      <c r="E63" s="14" t="n"/>
      <c r="F63" s="15" t="n"/>
      <c r="G63" s="14" t="n"/>
      <c r="H63" s="14" t="n"/>
      <c r="I63" s="14" t="n"/>
      <c r="J63" s="15" t="n"/>
      <c r="K63" s="15">
        <f>IF(AND(ISNUMBER(I63),ISNUMBER(J63)),I63*J63,"")</f>
        <v/>
      </c>
      <c r="L63" s="15">
        <f>IF(AND(F63="",K63=""),"",N(F63)+IF(ISNUMBER(K63),K63,0))</f>
        <v/>
      </c>
      <c r="M63" s="14" t="n"/>
    </row>
    <row r="64">
      <c r="A64" s="13" t="n"/>
      <c r="B64" s="14" t="n"/>
      <c r="C64" s="14" t="n"/>
      <c r="D64" s="14" t="n"/>
      <c r="E64" s="14" t="n"/>
      <c r="F64" s="15" t="n"/>
      <c r="G64" s="14" t="n"/>
      <c r="H64" s="14" t="n"/>
      <c r="I64" s="14" t="n"/>
      <c r="J64" s="15" t="n"/>
      <c r="K64" s="15">
        <f>IF(AND(ISNUMBER(I64),ISNUMBER(J64)),I64*J64,"")</f>
        <v/>
      </c>
      <c r="L64" s="15">
        <f>IF(AND(F64="",K64=""),"",N(F64)+IF(ISNUMBER(K64),K64,0))</f>
        <v/>
      </c>
      <c r="M64" s="14" t="n"/>
    </row>
    <row r="65">
      <c r="A65" s="13" t="n"/>
      <c r="B65" s="14" t="n"/>
      <c r="C65" s="14" t="n"/>
      <c r="D65" s="14" t="n"/>
      <c r="E65" s="14" t="n"/>
      <c r="F65" s="15" t="n"/>
      <c r="G65" s="14" t="n"/>
      <c r="H65" s="14" t="n"/>
      <c r="I65" s="14" t="n"/>
      <c r="J65" s="15" t="n"/>
      <c r="K65" s="15">
        <f>IF(AND(ISNUMBER(I65),ISNUMBER(J65)),I65*J65,"")</f>
        <v/>
      </c>
      <c r="L65" s="15">
        <f>IF(AND(F65="",K65=""),"",N(F65)+IF(ISNUMBER(K65),K65,0))</f>
        <v/>
      </c>
      <c r="M65" s="14" t="n"/>
    </row>
    <row r="66">
      <c r="A66" s="13" t="n"/>
      <c r="B66" s="14" t="n"/>
      <c r="C66" s="14" t="n"/>
      <c r="D66" s="14" t="n"/>
      <c r="E66" s="14" t="n"/>
      <c r="F66" s="15" t="n"/>
      <c r="G66" s="14" t="n"/>
      <c r="H66" s="14" t="n"/>
      <c r="I66" s="14" t="n"/>
      <c r="J66" s="15" t="n"/>
      <c r="K66" s="15">
        <f>IF(AND(ISNUMBER(I66),ISNUMBER(J66)),I66*J66,"")</f>
        <v/>
      </c>
      <c r="L66" s="15">
        <f>IF(AND(F66="",K66=""),"",N(F66)+IF(ISNUMBER(K66),K66,0))</f>
        <v/>
      </c>
      <c r="M66" s="14" t="n"/>
    </row>
    <row r="67">
      <c r="A67" s="13" t="n"/>
      <c r="B67" s="14" t="n"/>
      <c r="C67" s="14" t="n"/>
      <c r="D67" s="14" t="n"/>
      <c r="E67" s="14" t="n"/>
      <c r="F67" s="15" t="n"/>
      <c r="G67" s="14" t="n"/>
      <c r="H67" s="14" t="n"/>
      <c r="I67" s="14" t="n"/>
      <c r="J67" s="15" t="n"/>
      <c r="K67" s="15">
        <f>IF(AND(ISNUMBER(I67),ISNUMBER(J67)),I67*J67,"")</f>
        <v/>
      </c>
      <c r="L67" s="15">
        <f>IF(AND(F67="",K67=""),"",N(F67)+IF(ISNUMBER(K67),K67,0))</f>
        <v/>
      </c>
      <c r="M67" s="14" t="n"/>
    </row>
    <row r="68">
      <c r="A68" s="13" t="n"/>
      <c r="B68" s="14" t="n"/>
      <c r="C68" s="14" t="n"/>
      <c r="D68" s="14" t="n"/>
      <c r="E68" s="14" t="n"/>
      <c r="F68" s="15" t="n"/>
      <c r="G68" s="14" t="n"/>
      <c r="H68" s="14" t="n"/>
      <c r="I68" s="14" t="n"/>
      <c r="J68" s="15" t="n"/>
      <c r="K68" s="15">
        <f>IF(AND(ISNUMBER(I68),ISNUMBER(J68)),I68*J68,"")</f>
        <v/>
      </c>
      <c r="L68" s="15">
        <f>IF(AND(F68="",K68=""),"",N(F68)+IF(ISNUMBER(K68),K68,0))</f>
        <v/>
      </c>
      <c r="M68" s="14" t="n"/>
    </row>
    <row r="69">
      <c r="A69" s="13" t="n"/>
      <c r="B69" s="14" t="n"/>
      <c r="C69" s="14" t="n"/>
      <c r="D69" s="14" t="n"/>
      <c r="E69" s="14" t="n"/>
      <c r="F69" s="15" t="n"/>
      <c r="G69" s="14" t="n"/>
      <c r="H69" s="14" t="n"/>
      <c r="I69" s="14" t="n"/>
      <c r="J69" s="15" t="n"/>
      <c r="K69" s="15">
        <f>IF(AND(ISNUMBER(I69),ISNUMBER(J69)),I69*J69,"")</f>
        <v/>
      </c>
      <c r="L69" s="15">
        <f>IF(AND(F69="",K69=""),"",N(F69)+IF(ISNUMBER(K69),K69,0))</f>
        <v/>
      </c>
      <c r="M69" s="14" t="n"/>
    </row>
    <row r="70">
      <c r="A70" s="13" t="n"/>
      <c r="B70" s="14" t="n"/>
      <c r="C70" s="14" t="n"/>
      <c r="D70" s="14" t="n"/>
      <c r="E70" s="14" t="n"/>
      <c r="F70" s="15" t="n"/>
      <c r="G70" s="14" t="n"/>
      <c r="H70" s="14" t="n"/>
      <c r="I70" s="14" t="n"/>
      <c r="J70" s="15" t="n"/>
      <c r="K70" s="15">
        <f>IF(AND(ISNUMBER(I70),ISNUMBER(J70)),I70*J70,"")</f>
        <v/>
      </c>
      <c r="L70" s="15">
        <f>IF(AND(F70="",K70=""),"",N(F70)+IF(ISNUMBER(K70),K70,0))</f>
        <v/>
      </c>
      <c r="M70" s="14" t="n"/>
    </row>
    <row r="71">
      <c r="A71" s="13" t="n"/>
      <c r="B71" s="14" t="n"/>
      <c r="C71" s="14" t="n"/>
      <c r="D71" s="14" t="n"/>
      <c r="E71" s="14" t="n"/>
      <c r="F71" s="15" t="n"/>
      <c r="G71" s="14" t="n"/>
      <c r="H71" s="14" t="n"/>
      <c r="I71" s="14" t="n"/>
      <c r="J71" s="15" t="n"/>
      <c r="K71" s="15">
        <f>IF(AND(ISNUMBER(I71),ISNUMBER(J71)),I71*J71,"")</f>
        <v/>
      </c>
      <c r="L71" s="15">
        <f>IF(AND(F71="",K71=""),"",N(F71)+IF(ISNUMBER(K71),K71,0))</f>
        <v/>
      </c>
      <c r="M71" s="14" t="n"/>
    </row>
    <row r="72">
      <c r="A72" s="13" t="n"/>
      <c r="B72" s="14" t="n"/>
      <c r="C72" s="14" t="n"/>
      <c r="D72" s="14" t="n"/>
      <c r="E72" s="14" t="n"/>
      <c r="F72" s="15" t="n"/>
      <c r="G72" s="14" t="n"/>
      <c r="H72" s="14" t="n"/>
      <c r="I72" s="14" t="n"/>
      <c r="J72" s="15" t="n"/>
      <c r="K72" s="15">
        <f>IF(AND(ISNUMBER(I72),ISNUMBER(J72)),I72*J72,"")</f>
        <v/>
      </c>
      <c r="L72" s="15">
        <f>IF(AND(F72="",K72=""),"",N(F72)+IF(ISNUMBER(K72),K72,0))</f>
        <v/>
      </c>
      <c r="M72" s="14" t="n"/>
    </row>
    <row r="73">
      <c r="A73" s="13" t="n"/>
      <c r="B73" s="14" t="n"/>
      <c r="C73" s="14" t="n"/>
      <c r="D73" s="14" t="n"/>
      <c r="E73" s="14" t="n"/>
      <c r="F73" s="15" t="n"/>
      <c r="G73" s="14" t="n"/>
      <c r="H73" s="14" t="n"/>
      <c r="I73" s="14" t="n"/>
      <c r="J73" s="15" t="n"/>
      <c r="K73" s="15">
        <f>IF(AND(ISNUMBER(I73),ISNUMBER(J73)),I73*J73,"")</f>
        <v/>
      </c>
      <c r="L73" s="15">
        <f>IF(AND(F73="",K73=""),"",N(F73)+IF(ISNUMBER(K73),K73,0))</f>
        <v/>
      </c>
      <c r="M73" s="14" t="n"/>
    </row>
    <row r="74">
      <c r="A74" s="13" t="n"/>
      <c r="B74" s="14" t="n"/>
      <c r="C74" s="14" t="n"/>
      <c r="D74" s="14" t="n"/>
      <c r="E74" s="14" t="n"/>
      <c r="F74" s="15" t="n"/>
      <c r="G74" s="14" t="n"/>
      <c r="H74" s="14" t="n"/>
      <c r="I74" s="14" t="n"/>
      <c r="J74" s="15" t="n"/>
      <c r="K74" s="15">
        <f>IF(AND(ISNUMBER(I74),ISNUMBER(J74)),I74*J74,"")</f>
        <v/>
      </c>
      <c r="L74" s="15">
        <f>IF(AND(F74="",K74=""),"",N(F74)+IF(ISNUMBER(K74),K74,0))</f>
        <v/>
      </c>
      <c r="M74" s="14" t="n"/>
    </row>
    <row r="75">
      <c r="A75" s="13" t="n"/>
      <c r="B75" s="14" t="n"/>
      <c r="C75" s="14" t="n"/>
      <c r="D75" s="14" t="n"/>
      <c r="E75" s="14" t="n"/>
      <c r="F75" s="15" t="n"/>
      <c r="G75" s="14" t="n"/>
      <c r="H75" s="14" t="n"/>
      <c r="I75" s="14" t="n"/>
      <c r="J75" s="15" t="n"/>
      <c r="K75" s="15">
        <f>IF(AND(ISNUMBER(I75),ISNUMBER(J75)),I75*J75,"")</f>
        <v/>
      </c>
      <c r="L75" s="15">
        <f>IF(AND(F75="",K75=""),"",N(F75)+IF(ISNUMBER(K75),K75,0))</f>
        <v/>
      </c>
      <c r="M75" s="14" t="n"/>
    </row>
    <row r="76">
      <c r="A76" s="13" t="n"/>
      <c r="B76" s="14" t="n"/>
      <c r="C76" s="14" t="n"/>
      <c r="D76" s="14" t="n"/>
      <c r="E76" s="14" t="n"/>
      <c r="F76" s="15" t="n"/>
      <c r="G76" s="14" t="n"/>
      <c r="H76" s="14" t="n"/>
      <c r="I76" s="14" t="n"/>
      <c r="J76" s="15" t="n"/>
      <c r="K76" s="15">
        <f>IF(AND(ISNUMBER(I76),ISNUMBER(J76)),I76*J76,"")</f>
        <v/>
      </c>
      <c r="L76" s="15">
        <f>IF(AND(F76="",K76=""),"",N(F76)+IF(ISNUMBER(K76),K76,0))</f>
        <v/>
      </c>
      <c r="M76" s="14" t="n"/>
    </row>
    <row r="77">
      <c r="A77" s="13" t="n"/>
      <c r="B77" s="14" t="n"/>
      <c r="C77" s="14" t="n"/>
      <c r="D77" s="14" t="n"/>
      <c r="E77" s="14" t="n"/>
      <c r="F77" s="15" t="n"/>
      <c r="G77" s="14" t="n"/>
      <c r="H77" s="14" t="n"/>
      <c r="I77" s="14" t="n"/>
      <c r="J77" s="15" t="n"/>
      <c r="K77" s="15">
        <f>IF(AND(ISNUMBER(I77),ISNUMBER(J77)),I77*J77,"")</f>
        <v/>
      </c>
      <c r="L77" s="15">
        <f>IF(AND(F77="",K77=""),"",N(F77)+IF(ISNUMBER(K77),K77,0))</f>
        <v/>
      </c>
      <c r="M77" s="14" t="n"/>
    </row>
    <row r="78">
      <c r="A78" s="13" t="n"/>
      <c r="B78" s="14" t="n"/>
      <c r="C78" s="14" t="n"/>
      <c r="D78" s="14" t="n"/>
      <c r="E78" s="14" t="n"/>
      <c r="F78" s="15" t="n"/>
      <c r="G78" s="14" t="n"/>
      <c r="H78" s="14" t="n"/>
      <c r="I78" s="14" t="n"/>
      <c r="J78" s="15" t="n"/>
      <c r="K78" s="15">
        <f>IF(AND(ISNUMBER(I78),ISNUMBER(J78)),I78*J78,"")</f>
        <v/>
      </c>
      <c r="L78" s="15">
        <f>IF(AND(F78="",K78=""),"",N(F78)+IF(ISNUMBER(K78),K78,0))</f>
        <v/>
      </c>
      <c r="M78" s="14" t="n"/>
    </row>
    <row r="79">
      <c r="A79" s="13" t="n"/>
      <c r="B79" s="14" t="n"/>
      <c r="C79" s="14" t="n"/>
      <c r="D79" s="14" t="n"/>
      <c r="E79" s="14" t="n"/>
      <c r="F79" s="15" t="n"/>
      <c r="G79" s="14" t="n"/>
      <c r="H79" s="14" t="n"/>
      <c r="I79" s="14" t="n"/>
      <c r="J79" s="15" t="n"/>
      <c r="K79" s="15">
        <f>IF(AND(ISNUMBER(I79),ISNUMBER(J79)),I79*J79,"")</f>
        <v/>
      </c>
      <c r="L79" s="15">
        <f>IF(AND(F79="",K79=""),"",N(F79)+IF(ISNUMBER(K79),K79,0))</f>
        <v/>
      </c>
      <c r="M79" s="14" t="n"/>
    </row>
    <row r="80">
      <c r="A80" s="13" t="n"/>
      <c r="B80" s="14" t="n"/>
      <c r="C80" s="14" t="n"/>
      <c r="D80" s="14" t="n"/>
      <c r="E80" s="14" t="n"/>
      <c r="F80" s="15" t="n"/>
      <c r="G80" s="14" t="n"/>
      <c r="H80" s="14" t="n"/>
      <c r="I80" s="14" t="n"/>
      <c r="J80" s="15" t="n"/>
      <c r="K80" s="15">
        <f>IF(AND(ISNUMBER(I80),ISNUMBER(J80)),I80*J80,"")</f>
        <v/>
      </c>
      <c r="L80" s="15">
        <f>IF(AND(F80="",K80=""),"",N(F80)+IF(ISNUMBER(K80),K80,0))</f>
        <v/>
      </c>
      <c r="M80" s="14" t="n"/>
    </row>
    <row r="81">
      <c r="A81" s="13" t="n"/>
      <c r="B81" s="14" t="n"/>
      <c r="C81" s="14" t="n"/>
      <c r="D81" s="14" t="n"/>
      <c r="E81" s="14" t="n"/>
      <c r="F81" s="15" t="n"/>
      <c r="G81" s="14" t="n"/>
      <c r="H81" s="14" t="n"/>
      <c r="I81" s="14" t="n"/>
      <c r="J81" s="15" t="n"/>
      <c r="K81" s="15">
        <f>IF(AND(ISNUMBER(I81),ISNUMBER(J81)),I81*J81,"")</f>
        <v/>
      </c>
      <c r="L81" s="15">
        <f>IF(AND(F81="",K81=""),"",N(F81)+IF(ISNUMBER(K81),K81,0))</f>
        <v/>
      </c>
      <c r="M81" s="14" t="n"/>
    </row>
    <row r="82">
      <c r="A82" s="13" t="n"/>
      <c r="B82" s="14" t="n"/>
      <c r="C82" s="14" t="n"/>
      <c r="D82" s="14" t="n"/>
      <c r="E82" s="14" t="n"/>
      <c r="F82" s="15" t="n"/>
      <c r="G82" s="14" t="n"/>
      <c r="H82" s="14" t="n"/>
      <c r="I82" s="14" t="n"/>
      <c r="J82" s="15" t="n"/>
      <c r="K82" s="15">
        <f>IF(AND(ISNUMBER(I82),ISNUMBER(J82)),I82*J82,"")</f>
        <v/>
      </c>
      <c r="L82" s="15">
        <f>IF(AND(F82="",K82=""),"",N(F82)+IF(ISNUMBER(K82),K82,0))</f>
        <v/>
      </c>
      <c r="M82" s="14" t="n"/>
    </row>
    <row r="83">
      <c r="A83" s="13" t="n"/>
      <c r="B83" s="14" t="n"/>
      <c r="C83" s="14" t="n"/>
      <c r="D83" s="14" t="n"/>
      <c r="E83" s="14" t="n"/>
      <c r="F83" s="15" t="n"/>
      <c r="G83" s="14" t="n"/>
      <c r="H83" s="14" t="n"/>
      <c r="I83" s="14" t="n"/>
      <c r="J83" s="15" t="n"/>
      <c r="K83" s="15">
        <f>IF(AND(ISNUMBER(I83),ISNUMBER(J83)),I83*J83,"")</f>
        <v/>
      </c>
      <c r="L83" s="15">
        <f>IF(AND(F83="",K83=""),"",N(F83)+IF(ISNUMBER(K83),K83,0))</f>
        <v/>
      </c>
      <c r="M83" s="14" t="n"/>
    </row>
    <row r="84">
      <c r="A84" s="13" t="n"/>
      <c r="B84" s="14" t="n"/>
      <c r="C84" s="14" t="n"/>
      <c r="D84" s="14" t="n"/>
      <c r="E84" s="14" t="n"/>
      <c r="F84" s="15" t="n"/>
      <c r="G84" s="14" t="n"/>
      <c r="H84" s="14" t="n"/>
      <c r="I84" s="14" t="n"/>
      <c r="J84" s="15" t="n"/>
      <c r="K84" s="15">
        <f>IF(AND(ISNUMBER(I84),ISNUMBER(J84)),I84*J84,"")</f>
        <v/>
      </c>
      <c r="L84" s="15">
        <f>IF(AND(F84="",K84=""),"",N(F84)+IF(ISNUMBER(K84),K84,0))</f>
        <v/>
      </c>
      <c r="M84" s="14" t="n"/>
    </row>
    <row r="85">
      <c r="A85" s="13" t="n"/>
      <c r="B85" s="14" t="n"/>
      <c r="C85" s="14" t="n"/>
      <c r="D85" s="14" t="n"/>
      <c r="E85" s="14" t="n"/>
      <c r="F85" s="15" t="n"/>
      <c r="G85" s="14" t="n"/>
      <c r="H85" s="14" t="n"/>
      <c r="I85" s="14" t="n"/>
      <c r="J85" s="15" t="n"/>
      <c r="K85" s="15">
        <f>IF(AND(ISNUMBER(I85),ISNUMBER(J85)),I85*J85,"")</f>
        <v/>
      </c>
      <c r="L85" s="15">
        <f>IF(AND(F85="",K85=""),"",N(F85)+IF(ISNUMBER(K85),K85,0))</f>
        <v/>
      </c>
      <c r="M85" s="14" t="n"/>
    </row>
    <row r="86">
      <c r="A86" s="13" t="n"/>
      <c r="B86" s="14" t="n"/>
      <c r="C86" s="14" t="n"/>
      <c r="D86" s="14" t="n"/>
      <c r="E86" s="14" t="n"/>
      <c r="F86" s="15" t="n"/>
      <c r="G86" s="14" t="n"/>
      <c r="H86" s="14" t="n"/>
      <c r="I86" s="14" t="n"/>
      <c r="J86" s="15" t="n"/>
      <c r="K86" s="15">
        <f>IF(AND(ISNUMBER(I86),ISNUMBER(J86)),I86*J86,"")</f>
        <v/>
      </c>
      <c r="L86" s="15">
        <f>IF(AND(F86="",K86=""),"",N(F86)+IF(ISNUMBER(K86),K86,0))</f>
        <v/>
      </c>
      <c r="M86" s="14" t="n"/>
    </row>
    <row r="87">
      <c r="A87" s="13" t="n"/>
      <c r="B87" s="14" t="n"/>
      <c r="C87" s="14" t="n"/>
      <c r="D87" s="14" t="n"/>
      <c r="E87" s="14" t="n"/>
      <c r="F87" s="15" t="n"/>
      <c r="G87" s="14" t="n"/>
      <c r="H87" s="14" t="n"/>
      <c r="I87" s="14" t="n"/>
      <c r="J87" s="15" t="n"/>
      <c r="K87" s="15">
        <f>IF(AND(ISNUMBER(I87),ISNUMBER(J87)),I87*J87,"")</f>
        <v/>
      </c>
      <c r="L87" s="15">
        <f>IF(AND(F87="",K87=""),"",N(F87)+IF(ISNUMBER(K87),K87,0))</f>
        <v/>
      </c>
      <c r="M87" s="14" t="n"/>
    </row>
    <row r="88">
      <c r="A88" s="13" t="n"/>
      <c r="B88" s="14" t="n"/>
      <c r="C88" s="14" t="n"/>
      <c r="D88" s="14" t="n"/>
      <c r="E88" s="14" t="n"/>
      <c r="F88" s="15" t="n"/>
      <c r="G88" s="14" t="n"/>
      <c r="H88" s="14" t="n"/>
      <c r="I88" s="14" t="n"/>
      <c r="J88" s="15" t="n"/>
      <c r="K88" s="15">
        <f>IF(AND(ISNUMBER(I88),ISNUMBER(J88)),I88*J88,"")</f>
        <v/>
      </c>
      <c r="L88" s="15">
        <f>IF(AND(F88="",K88=""),"",N(F88)+IF(ISNUMBER(K88),K88,0))</f>
        <v/>
      </c>
      <c r="M88" s="14" t="n"/>
    </row>
    <row r="89">
      <c r="A89" s="13" t="n"/>
      <c r="B89" s="14" t="n"/>
      <c r="C89" s="14" t="n"/>
      <c r="D89" s="14" t="n"/>
      <c r="E89" s="14" t="n"/>
      <c r="F89" s="15" t="n"/>
      <c r="G89" s="14" t="n"/>
      <c r="H89" s="14" t="n"/>
      <c r="I89" s="14" t="n"/>
      <c r="J89" s="15" t="n"/>
      <c r="K89" s="15">
        <f>IF(AND(ISNUMBER(I89),ISNUMBER(J89)),I89*J89,"")</f>
        <v/>
      </c>
      <c r="L89" s="15">
        <f>IF(AND(F89="",K89=""),"",N(F89)+IF(ISNUMBER(K89),K89,0))</f>
        <v/>
      </c>
      <c r="M89" s="14" t="n"/>
    </row>
    <row r="90">
      <c r="A90" s="13" t="n"/>
      <c r="B90" s="14" t="n"/>
      <c r="C90" s="14" t="n"/>
      <c r="D90" s="14" t="n"/>
      <c r="E90" s="14" t="n"/>
      <c r="F90" s="15" t="n"/>
      <c r="G90" s="14" t="n"/>
      <c r="H90" s="14" t="n"/>
      <c r="I90" s="14" t="n"/>
      <c r="J90" s="15" t="n"/>
      <c r="K90" s="15">
        <f>IF(AND(ISNUMBER(I90),ISNUMBER(J90)),I90*J90,"")</f>
        <v/>
      </c>
      <c r="L90" s="15">
        <f>IF(AND(F90="",K90=""),"",N(F90)+IF(ISNUMBER(K90),K90,0))</f>
        <v/>
      </c>
      <c r="M90" s="14" t="n"/>
    </row>
    <row r="91">
      <c r="A91" s="13" t="n"/>
      <c r="B91" s="14" t="n"/>
      <c r="C91" s="14" t="n"/>
      <c r="D91" s="14" t="n"/>
      <c r="E91" s="14" t="n"/>
      <c r="F91" s="15" t="n"/>
      <c r="G91" s="14" t="n"/>
      <c r="H91" s="14" t="n"/>
      <c r="I91" s="14" t="n"/>
      <c r="J91" s="15" t="n"/>
      <c r="K91" s="15">
        <f>IF(AND(ISNUMBER(I91),ISNUMBER(J91)),I91*J91,"")</f>
        <v/>
      </c>
      <c r="L91" s="15">
        <f>IF(AND(F91="",K91=""),"",N(F91)+IF(ISNUMBER(K91),K91,0))</f>
        <v/>
      </c>
      <c r="M91" s="14" t="n"/>
    </row>
    <row r="92">
      <c r="A92" s="13" t="n"/>
      <c r="B92" s="14" t="n"/>
      <c r="C92" s="14" t="n"/>
      <c r="D92" s="14" t="n"/>
      <c r="E92" s="14" t="n"/>
      <c r="F92" s="15" t="n"/>
      <c r="G92" s="14" t="n"/>
      <c r="H92" s="14" t="n"/>
      <c r="I92" s="14" t="n"/>
      <c r="J92" s="15" t="n"/>
      <c r="K92" s="15">
        <f>IF(AND(ISNUMBER(I92),ISNUMBER(J92)),I92*J92,"")</f>
        <v/>
      </c>
      <c r="L92" s="15">
        <f>IF(AND(F92="",K92=""),"",N(F92)+IF(ISNUMBER(K92),K92,0))</f>
        <v/>
      </c>
      <c r="M92" s="14" t="n"/>
    </row>
    <row r="93">
      <c r="A93" s="13" t="n"/>
      <c r="B93" s="14" t="n"/>
      <c r="C93" s="14" t="n"/>
      <c r="D93" s="14" t="n"/>
      <c r="E93" s="14" t="n"/>
      <c r="F93" s="15" t="n"/>
      <c r="G93" s="14" t="n"/>
      <c r="H93" s="14" t="n"/>
      <c r="I93" s="14" t="n"/>
      <c r="J93" s="15" t="n"/>
      <c r="K93" s="15">
        <f>IF(AND(ISNUMBER(I93),ISNUMBER(J93)),I93*J93,"")</f>
        <v/>
      </c>
      <c r="L93" s="15">
        <f>IF(AND(F93="",K93=""),"",N(F93)+IF(ISNUMBER(K93),K93,0))</f>
        <v/>
      </c>
      <c r="M93" s="14" t="n"/>
    </row>
    <row r="94">
      <c r="A94" s="13" t="n"/>
      <c r="B94" s="14" t="n"/>
      <c r="C94" s="14" t="n"/>
      <c r="D94" s="14" t="n"/>
      <c r="E94" s="14" t="n"/>
      <c r="F94" s="15" t="n"/>
      <c r="G94" s="14" t="n"/>
      <c r="H94" s="14" t="n"/>
      <c r="I94" s="14" t="n"/>
      <c r="J94" s="15" t="n"/>
      <c r="K94" s="15">
        <f>IF(AND(ISNUMBER(I94),ISNUMBER(J94)),I94*J94,"")</f>
        <v/>
      </c>
      <c r="L94" s="15">
        <f>IF(AND(F94="",K94=""),"",N(F94)+IF(ISNUMBER(K94),K94,0))</f>
        <v/>
      </c>
      <c r="M94" s="14" t="n"/>
    </row>
    <row r="95">
      <c r="A95" s="13" t="n"/>
      <c r="B95" s="14" t="n"/>
      <c r="C95" s="14" t="n"/>
      <c r="D95" s="14" t="n"/>
      <c r="E95" s="14" t="n"/>
      <c r="F95" s="15" t="n"/>
      <c r="G95" s="14" t="n"/>
      <c r="H95" s="14" t="n"/>
      <c r="I95" s="14" t="n"/>
      <c r="J95" s="15" t="n"/>
      <c r="K95" s="15">
        <f>IF(AND(ISNUMBER(I95),ISNUMBER(J95)),I95*J95,"")</f>
        <v/>
      </c>
      <c r="L95" s="15">
        <f>IF(AND(F95="",K95=""),"",N(F95)+IF(ISNUMBER(K95),K95,0))</f>
        <v/>
      </c>
      <c r="M95" s="14" t="n"/>
    </row>
    <row r="96">
      <c r="A96" s="13" t="n"/>
      <c r="B96" s="14" t="n"/>
      <c r="C96" s="14" t="n"/>
      <c r="D96" s="14" t="n"/>
      <c r="E96" s="14" t="n"/>
      <c r="F96" s="15" t="n"/>
      <c r="G96" s="14" t="n"/>
      <c r="H96" s="14" t="n"/>
      <c r="I96" s="14" t="n"/>
      <c r="J96" s="15" t="n"/>
      <c r="K96" s="15">
        <f>IF(AND(ISNUMBER(I96),ISNUMBER(J96)),I96*J96,"")</f>
        <v/>
      </c>
      <c r="L96" s="15">
        <f>IF(AND(F96="",K96=""),"",N(F96)+IF(ISNUMBER(K96),K96,0))</f>
        <v/>
      </c>
      <c r="M96" s="14" t="n"/>
    </row>
    <row r="97">
      <c r="A97" s="13" t="n"/>
      <c r="B97" s="14" t="n"/>
      <c r="C97" s="14" t="n"/>
      <c r="D97" s="14" t="n"/>
      <c r="E97" s="14" t="n"/>
      <c r="F97" s="15" t="n"/>
      <c r="G97" s="14" t="n"/>
      <c r="H97" s="14" t="n"/>
      <c r="I97" s="14" t="n"/>
      <c r="J97" s="15" t="n"/>
      <c r="K97" s="15">
        <f>IF(AND(ISNUMBER(I97),ISNUMBER(J97)),I97*J97,"")</f>
        <v/>
      </c>
      <c r="L97" s="15">
        <f>IF(AND(F97="",K97=""),"",N(F97)+IF(ISNUMBER(K97),K97,0))</f>
        <v/>
      </c>
      <c r="M97" s="14" t="n"/>
    </row>
    <row r="98">
      <c r="A98" s="13" t="n"/>
      <c r="B98" s="14" t="n"/>
      <c r="C98" s="14" t="n"/>
      <c r="D98" s="14" t="n"/>
      <c r="E98" s="14" t="n"/>
      <c r="F98" s="15" t="n"/>
      <c r="G98" s="14" t="n"/>
      <c r="H98" s="14" t="n"/>
      <c r="I98" s="14" t="n"/>
      <c r="J98" s="15" t="n"/>
      <c r="K98" s="15">
        <f>IF(AND(ISNUMBER(I98),ISNUMBER(J98)),I98*J98,"")</f>
        <v/>
      </c>
      <c r="L98" s="15">
        <f>IF(AND(F98="",K98=""),"",N(F98)+IF(ISNUMBER(K98),K98,0))</f>
        <v/>
      </c>
      <c r="M98" s="14" t="n"/>
    </row>
    <row r="99">
      <c r="A99" s="13" t="n"/>
      <c r="B99" s="14" t="n"/>
      <c r="C99" s="14" t="n"/>
      <c r="D99" s="14" t="n"/>
      <c r="E99" s="14" t="n"/>
      <c r="F99" s="15" t="n"/>
      <c r="G99" s="14" t="n"/>
      <c r="H99" s="14" t="n"/>
      <c r="I99" s="14" t="n"/>
      <c r="J99" s="15" t="n"/>
      <c r="K99" s="15">
        <f>IF(AND(ISNUMBER(I99),ISNUMBER(J99)),I99*J99,"")</f>
        <v/>
      </c>
      <c r="L99" s="15">
        <f>IF(AND(F99="",K99=""),"",N(F99)+IF(ISNUMBER(K99),K99,0))</f>
        <v/>
      </c>
      <c r="M99" s="14" t="n"/>
    </row>
    <row r="100">
      <c r="A100" s="13" t="n"/>
      <c r="B100" s="14" t="n"/>
      <c r="C100" s="14" t="n"/>
      <c r="D100" s="14" t="n"/>
      <c r="E100" s="14" t="n"/>
      <c r="F100" s="15" t="n"/>
      <c r="G100" s="14" t="n"/>
      <c r="H100" s="14" t="n"/>
      <c r="I100" s="14" t="n"/>
      <c r="J100" s="15" t="n"/>
      <c r="K100" s="15">
        <f>IF(AND(ISNUMBER(I100),ISNUMBER(J100)),I100*J100,"")</f>
        <v/>
      </c>
      <c r="L100" s="15">
        <f>IF(AND(F100="",K100=""),"",N(F100)+IF(ISNUMBER(K100),K100,0))</f>
        <v/>
      </c>
      <c r="M100" s="14" t="n"/>
    </row>
    <row r="101">
      <c r="A101" s="13" t="n"/>
      <c r="B101" s="14" t="n"/>
      <c r="C101" s="14" t="n"/>
      <c r="D101" s="14" t="n"/>
      <c r="E101" s="14" t="n"/>
      <c r="F101" s="15" t="n"/>
      <c r="G101" s="14" t="n"/>
      <c r="H101" s="14" t="n"/>
      <c r="I101" s="14" t="n"/>
      <c r="J101" s="15" t="n"/>
      <c r="K101" s="15">
        <f>IF(AND(ISNUMBER(I101),ISNUMBER(J101)),I101*J101,"")</f>
        <v/>
      </c>
      <c r="L101" s="15">
        <f>IF(AND(F101="",K101=""),"",N(F101)+IF(ISNUMBER(K101),K101,0))</f>
        <v/>
      </c>
      <c r="M101" s="14" t="n"/>
    </row>
    <row r="102">
      <c r="A102" s="13" t="n"/>
      <c r="B102" s="14" t="n"/>
      <c r="C102" s="14" t="n"/>
      <c r="D102" s="14" t="n"/>
      <c r="E102" s="14" t="n"/>
      <c r="F102" s="15" t="n"/>
      <c r="G102" s="14" t="n"/>
      <c r="H102" s="14" t="n"/>
      <c r="I102" s="14" t="n"/>
      <c r="J102" s="15" t="n"/>
      <c r="K102" s="15">
        <f>IF(AND(ISNUMBER(I102),ISNUMBER(J102)),I102*J102,"")</f>
        <v/>
      </c>
      <c r="L102" s="15">
        <f>IF(AND(F102="",K102=""),"",N(F102)+IF(ISNUMBER(K102),K102,0))</f>
        <v/>
      </c>
      <c r="M102" s="14" t="n"/>
    </row>
    <row r="103">
      <c r="A103" s="13" t="n"/>
      <c r="B103" s="14" t="n"/>
      <c r="C103" s="14" t="n"/>
      <c r="D103" s="14" t="n"/>
      <c r="E103" s="14" t="n"/>
      <c r="F103" s="15" t="n"/>
      <c r="G103" s="14" t="n"/>
      <c r="H103" s="14" t="n"/>
      <c r="I103" s="14" t="n"/>
      <c r="J103" s="15" t="n"/>
      <c r="K103" s="15">
        <f>IF(AND(ISNUMBER(I103),ISNUMBER(J103)),I103*J103,"")</f>
        <v/>
      </c>
      <c r="L103" s="15">
        <f>IF(AND(F103="",K103=""),"",N(F103)+IF(ISNUMBER(K103),K103,0))</f>
        <v/>
      </c>
      <c r="M103" s="14" t="n"/>
    </row>
    <row r="104">
      <c r="A104" s="13" t="n"/>
      <c r="B104" s="14" t="n"/>
      <c r="C104" s="14" t="n"/>
      <c r="D104" s="14" t="n"/>
      <c r="E104" s="14" t="n"/>
      <c r="F104" s="15" t="n"/>
      <c r="G104" s="14" t="n"/>
      <c r="H104" s="14" t="n"/>
      <c r="I104" s="14" t="n"/>
      <c r="J104" s="15" t="n"/>
      <c r="K104" s="15">
        <f>IF(AND(ISNUMBER(I104),ISNUMBER(J104)),I104*J104,"")</f>
        <v/>
      </c>
      <c r="L104" s="15">
        <f>IF(AND(F104="",K104=""),"",N(F104)+IF(ISNUMBER(K104),K104,0))</f>
        <v/>
      </c>
      <c r="M104" s="14" t="n"/>
    </row>
    <row r="105">
      <c r="A105" s="13" t="n"/>
      <c r="B105" s="14" t="n"/>
      <c r="C105" s="14" t="n"/>
      <c r="D105" s="14" t="n"/>
      <c r="E105" s="14" t="n"/>
      <c r="F105" s="15" t="n"/>
      <c r="G105" s="14" t="n"/>
      <c r="H105" s="14" t="n"/>
      <c r="I105" s="14" t="n"/>
      <c r="J105" s="15" t="n"/>
      <c r="K105" s="15">
        <f>IF(AND(ISNUMBER(I105),ISNUMBER(J105)),I105*J105,"")</f>
        <v/>
      </c>
      <c r="L105" s="15">
        <f>IF(AND(F105="",K105=""),"",N(F105)+IF(ISNUMBER(K105),K105,0))</f>
        <v/>
      </c>
      <c r="M105" s="14" t="n"/>
    </row>
    <row r="106">
      <c r="A106" s="13" t="n"/>
      <c r="B106" s="14" t="n"/>
      <c r="C106" s="14" t="n"/>
      <c r="D106" s="14" t="n"/>
      <c r="E106" s="14" t="n"/>
      <c r="F106" s="15" t="n"/>
      <c r="G106" s="14" t="n"/>
      <c r="H106" s="14" t="n"/>
      <c r="I106" s="14" t="n"/>
      <c r="J106" s="15" t="n"/>
      <c r="K106" s="15">
        <f>IF(AND(ISNUMBER(I106),ISNUMBER(J106)),I106*J106,"")</f>
        <v/>
      </c>
      <c r="L106" s="15">
        <f>IF(AND(F106="",K106=""),"",N(F106)+IF(ISNUMBER(K106),K106,0))</f>
        <v/>
      </c>
      <c r="M106" s="14" t="n"/>
    </row>
    <row r="107">
      <c r="A107" s="13" t="n"/>
      <c r="B107" s="14" t="n"/>
      <c r="C107" s="14" t="n"/>
      <c r="D107" s="14" t="n"/>
      <c r="E107" s="14" t="n"/>
      <c r="F107" s="15" t="n"/>
      <c r="G107" s="14" t="n"/>
      <c r="H107" s="14" t="n"/>
      <c r="I107" s="14" t="n"/>
      <c r="J107" s="15" t="n"/>
      <c r="K107" s="15">
        <f>IF(AND(ISNUMBER(I107),ISNUMBER(J107)),I107*J107,"")</f>
        <v/>
      </c>
      <c r="L107" s="15">
        <f>IF(AND(F107="",K107=""),"",N(F107)+IF(ISNUMBER(K107),K107,0))</f>
        <v/>
      </c>
      <c r="M107" s="14" t="n"/>
    </row>
    <row r="108">
      <c r="A108" s="13" t="n"/>
      <c r="B108" s="14" t="n"/>
      <c r="C108" s="14" t="n"/>
      <c r="D108" s="14" t="n"/>
      <c r="E108" s="14" t="n"/>
      <c r="F108" s="15" t="n"/>
      <c r="G108" s="14" t="n"/>
      <c r="H108" s="14" t="n"/>
      <c r="I108" s="14" t="n"/>
      <c r="J108" s="15" t="n"/>
      <c r="K108" s="15">
        <f>IF(AND(ISNUMBER(I108),ISNUMBER(J108)),I108*J108,"")</f>
        <v/>
      </c>
      <c r="L108" s="15">
        <f>IF(AND(F108="",K108=""),"",N(F108)+IF(ISNUMBER(K108),K108,0))</f>
        <v/>
      </c>
      <c r="M108" s="14" t="n"/>
    </row>
    <row r="109">
      <c r="A109" s="13" t="n"/>
      <c r="B109" s="14" t="n"/>
      <c r="C109" s="14" t="n"/>
      <c r="D109" s="14" t="n"/>
      <c r="E109" s="14" t="n"/>
      <c r="F109" s="15" t="n"/>
      <c r="G109" s="14" t="n"/>
      <c r="H109" s="14" t="n"/>
      <c r="I109" s="14" t="n"/>
      <c r="J109" s="15" t="n"/>
      <c r="K109" s="15">
        <f>IF(AND(ISNUMBER(I109),ISNUMBER(J109)),I109*J109,"")</f>
        <v/>
      </c>
      <c r="L109" s="15">
        <f>IF(AND(F109="",K109=""),"",N(F109)+IF(ISNUMBER(K109),K109,0))</f>
        <v/>
      </c>
      <c r="M109" s="14" t="n"/>
    </row>
    <row r="110">
      <c r="A110" s="13" t="n"/>
      <c r="B110" s="14" t="n"/>
      <c r="C110" s="14" t="n"/>
      <c r="D110" s="14" t="n"/>
      <c r="E110" s="14" t="n"/>
      <c r="F110" s="15" t="n"/>
      <c r="G110" s="14" t="n"/>
      <c r="H110" s="14" t="n"/>
      <c r="I110" s="14" t="n"/>
      <c r="J110" s="15" t="n"/>
      <c r="K110" s="15">
        <f>IF(AND(ISNUMBER(I110),ISNUMBER(J110)),I110*J110,"")</f>
        <v/>
      </c>
      <c r="L110" s="15">
        <f>IF(AND(F110="",K110=""),"",N(F110)+IF(ISNUMBER(K110),K110,0))</f>
        <v/>
      </c>
      <c r="M110" s="14" t="n"/>
    </row>
    <row r="111">
      <c r="A111" s="13" t="n"/>
      <c r="B111" s="14" t="n"/>
      <c r="C111" s="14" t="n"/>
      <c r="D111" s="14" t="n"/>
      <c r="E111" s="14" t="n"/>
      <c r="F111" s="15" t="n"/>
      <c r="G111" s="14" t="n"/>
      <c r="H111" s="14" t="n"/>
      <c r="I111" s="14" t="n"/>
      <c r="J111" s="15" t="n"/>
      <c r="K111" s="15">
        <f>IF(AND(ISNUMBER(I111),ISNUMBER(J111)),I111*J111,"")</f>
        <v/>
      </c>
      <c r="L111" s="15">
        <f>IF(AND(F111="",K111=""),"",N(F111)+IF(ISNUMBER(K111),K111,0))</f>
        <v/>
      </c>
      <c r="M111" s="14" t="n"/>
    </row>
    <row r="112">
      <c r="A112" s="13" t="n"/>
      <c r="B112" s="14" t="n"/>
      <c r="C112" s="14" t="n"/>
      <c r="D112" s="14" t="n"/>
      <c r="E112" s="14" t="n"/>
      <c r="F112" s="15" t="n"/>
      <c r="G112" s="14" t="n"/>
      <c r="H112" s="14" t="n"/>
      <c r="I112" s="14" t="n"/>
      <c r="J112" s="15" t="n"/>
      <c r="K112" s="15">
        <f>IF(AND(ISNUMBER(I112),ISNUMBER(J112)),I112*J112,"")</f>
        <v/>
      </c>
      <c r="L112" s="15">
        <f>IF(AND(F112="",K112=""),"",N(F112)+IF(ISNUMBER(K112),K112,0))</f>
        <v/>
      </c>
      <c r="M112" s="14" t="n"/>
    </row>
    <row r="113">
      <c r="A113" s="13" t="n"/>
      <c r="B113" s="14" t="n"/>
      <c r="C113" s="14" t="n"/>
      <c r="D113" s="14" t="n"/>
      <c r="E113" s="14" t="n"/>
      <c r="F113" s="15" t="n"/>
      <c r="G113" s="14" t="n"/>
      <c r="H113" s="14" t="n"/>
      <c r="I113" s="14" t="n"/>
      <c r="J113" s="15" t="n"/>
      <c r="K113" s="15">
        <f>IF(AND(ISNUMBER(I113),ISNUMBER(J113)),I113*J113,"")</f>
        <v/>
      </c>
      <c r="L113" s="15">
        <f>IF(AND(F113="",K113=""),"",N(F113)+IF(ISNUMBER(K113),K113,0))</f>
        <v/>
      </c>
      <c r="M113" s="14" t="n"/>
    </row>
    <row r="114">
      <c r="A114" s="13" t="n"/>
      <c r="B114" s="14" t="n"/>
      <c r="C114" s="14" t="n"/>
      <c r="D114" s="14" t="n"/>
      <c r="E114" s="14" t="n"/>
      <c r="F114" s="15" t="n"/>
      <c r="G114" s="14" t="n"/>
      <c r="H114" s="14" t="n"/>
      <c r="I114" s="14" t="n"/>
      <c r="J114" s="15" t="n"/>
      <c r="K114" s="15">
        <f>IF(AND(ISNUMBER(I114),ISNUMBER(J114)),I114*J114,"")</f>
        <v/>
      </c>
      <c r="L114" s="15">
        <f>IF(AND(F114="",K114=""),"",N(F114)+IF(ISNUMBER(K114),K114,0))</f>
        <v/>
      </c>
      <c r="M114" s="14" t="n"/>
    </row>
    <row r="115">
      <c r="A115" s="13" t="n"/>
      <c r="B115" s="14" t="n"/>
      <c r="C115" s="14" t="n"/>
      <c r="D115" s="14" t="n"/>
      <c r="E115" s="14" t="n"/>
      <c r="F115" s="15" t="n"/>
      <c r="G115" s="14" t="n"/>
      <c r="H115" s="14" t="n"/>
      <c r="I115" s="14" t="n"/>
      <c r="J115" s="15" t="n"/>
      <c r="K115" s="15">
        <f>IF(AND(ISNUMBER(I115),ISNUMBER(J115)),I115*J115,"")</f>
        <v/>
      </c>
      <c r="L115" s="15">
        <f>IF(AND(F115="",K115=""),"",N(F115)+IF(ISNUMBER(K115),K115,0))</f>
        <v/>
      </c>
      <c r="M115" s="14" t="n"/>
    </row>
    <row r="116">
      <c r="A116" s="13" t="n"/>
      <c r="B116" s="14" t="n"/>
      <c r="C116" s="14" t="n"/>
      <c r="D116" s="14" t="n"/>
      <c r="E116" s="14" t="n"/>
      <c r="F116" s="15" t="n"/>
      <c r="G116" s="14" t="n"/>
      <c r="H116" s="14" t="n"/>
      <c r="I116" s="14" t="n"/>
      <c r="J116" s="15" t="n"/>
      <c r="K116" s="15">
        <f>IF(AND(ISNUMBER(I116),ISNUMBER(J116)),I116*J116,"")</f>
        <v/>
      </c>
      <c r="L116" s="15">
        <f>IF(AND(F116="",K116=""),"",N(F116)+IF(ISNUMBER(K116),K116,0))</f>
        <v/>
      </c>
      <c r="M116" s="14" t="n"/>
    </row>
    <row r="117">
      <c r="A117" s="13" t="n"/>
      <c r="B117" s="14" t="n"/>
      <c r="C117" s="14" t="n"/>
      <c r="D117" s="14" t="n"/>
      <c r="E117" s="14" t="n"/>
      <c r="F117" s="15" t="n"/>
      <c r="G117" s="14" t="n"/>
      <c r="H117" s="14" t="n"/>
      <c r="I117" s="14" t="n"/>
      <c r="J117" s="15" t="n"/>
      <c r="K117" s="15">
        <f>IF(AND(ISNUMBER(I117),ISNUMBER(J117)),I117*J117,"")</f>
        <v/>
      </c>
      <c r="L117" s="15">
        <f>IF(AND(F117="",K117=""),"",N(F117)+IF(ISNUMBER(K117),K117,0))</f>
        <v/>
      </c>
      <c r="M117" s="14" t="n"/>
    </row>
    <row r="118">
      <c r="A118" s="13" t="n"/>
      <c r="B118" s="14" t="n"/>
      <c r="C118" s="14" t="n"/>
      <c r="D118" s="14" t="n"/>
      <c r="E118" s="14" t="n"/>
      <c r="F118" s="15" t="n"/>
      <c r="G118" s="14" t="n"/>
      <c r="H118" s="14" t="n"/>
      <c r="I118" s="14" t="n"/>
      <c r="J118" s="15" t="n"/>
      <c r="K118" s="15">
        <f>IF(AND(ISNUMBER(I118),ISNUMBER(J118)),I118*J118,"")</f>
        <v/>
      </c>
      <c r="L118" s="15">
        <f>IF(AND(F118="",K118=""),"",N(F118)+IF(ISNUMBER(K118),K118,0))</f>
        <v/>
      </c>
      <c r="M118" s="14" t="n"/>
    </row>
    <row r="119">
      <c r="A119" s="13" t="n"/>
      <c r="B119" s="14" t="n"/>
      <c r="C119" s="14" t="n"/>
      <c r="D119" s="14" t="n"/>
      <c r="E119" s="14" t="n"/>
      <c r="F119" s="15" t="n"/>
      <c r="G119" s="14" t="n"/>
      <c r="H119" s="14" t="n"/>
      <c r="I119" s="14" t="n"/>
      <c r="J119" s="15" t="n"/>
      <c r="K119" s="15">
        <f>IF(AND(ISNUMBER(I119),ISNUMBER(J119)),I119*J119,"")</f>
        <v/>
      </c>
      <c r="L119" s="15">
        <f>IF(AND(F119="",K119=""),"",N(F119)+IF(ISNUMBER(K119),K119,0))</f>
        <v/>
      </c>
      <c r="M119" s="14" t="n"/>
    </row>
    <row r="120">
      <c r="A120" s="13" t="n"/>
      <c r="B120" s="14" t="n"/>
      <c r="C120" s="14" t="n"/>
      <c r="D120" s="14" t="n"/>
      <c r="E120" s="14" t="n"/>
      <c r="F120" s="15" t="n"/>
      <c r="G120" s="14" t="n"/>
      <c r="H120" s="14" t="n"/>
      <c r="I120" s="14" t="n"/>
      <c r="J120" s="15" t="n"/>
      <c r="K120" s="15">
        <f>IF(AND(ISNUMBER(I120),ISNUMBER(J120)),I120*J120,"")</f>
        <v/>
      </c>
      <c r="L120" s="15">
        <f>IF(AND(F120="",K120=""),"",N(F120)+IF(ISNUMBER(K120),K120,0))</f>
        <v/>
      </c>
      <c r="M120" s="14" t="n"/>
    </row>
    <row r="121">
      <c r="A121" s="13" t="n"/>
      <c r="B121" s="14" t="n"/>
      <c r="C121" s="14" t="n"/>
      <c r="D121" s="14" t="n"/>
      <c r="E121" s="14" t="n"/>
      <c r="F121" s="15" t="n"/>
      <c r="G121" s="14" t="n"/>
      <c r="H121" s="14" t="n"/>
      <c r="I121" s="14" t="n"/>
      <c r="J121" s="15" t="n"/>
      <c r="K121" s="15">
        <f>IF(AND(ISNUMBER(I121),ISNUMBER(J121)),I121*J121,"")</f>
        <v/>
      </c>
      <c r="L121" s="15">
        <f>IF(AND(F121="",K121=""),"",N(F121)+IF(ISNUMBER(K121),K121,0))</f>
        <v/>
      </c>
      <c r="M121" s="14" t="n"/>
    </row>
    <row r="122">
      <c r="A122" s="13" t="n"/>
      <c r="B122" s="14" t="n"/>
      <c r="C122" s="14" t="n"/>
      <c r="D122" s="14" t="n"/>
      <c r="E122" s="14" t="n"/>
      <c r="F122" s="15" t="n"/>
      <c r="G122" s="14" t="n"/>
      <c r="H122" s="14" t="n"/>
      <c r="I122" s="14" t="n"/>
      <c r="J122" s="15" t="n"/>
      <c r="K122" s="15">
        <f>IF(AND(ISNUMBER(I122),ISNUMBER(J122)),I122*J122,"")</f>
        <v/>
      </c>
      <c r="L122" s="15">
        <f>IF(AND(F122="",K122=""),"",N(F122)+IF(ISNUMBER(K122),K122,0))</f>
        <v/>
      </c>
      <c r="M122" s="14" t="n"/>
    </row>
    <row r="123">
      <c r="A123" s="13" t="n"/>
      <c r="B123" s="14" t="n"/>
      <c r="C123" s="14" t="n"/>
      <c r="D123" s="14" t="n"/>
      <c r="E123" s="14" t="n"/>
      <c r="F123" s="15" t="n"/>
      <c r="G123" s="14" t="n"/>
      <c r="H123" s="14" t="n"/>
      <c r="I123" s="14" t="n"/>
      <c r="J123" s="15" t="n"/>
      <c r="K123" s="15">
        <f>IF(AND(ISNUMBER(I123),ISNUMBER(J123)),I123*J123,"")</f>
        <v/>
      </c>
      <c r="L123" s="15">
        <f>IF(AND(F123="",K123=""),"",N(F123)+IF(ISNUMBER(K123),K123,0))</f>
        <v/>
      </c>
      <c r="M123" s="14" t="n"/>
    </row>
    <row r="124">
      <c r="A124" s="13" t="n"/>
      <c r="B124" s="14" t="n"/>
      <c r="C124" s="14" t="n"/>
      <c r="D124" s="14" t="n"/>
      <c r="E124" s="14" t="n"/>
      <c r="F124" s="15" t="n"/>
      <c r="G124" s="14" t="n"/>
      <c r="H124" s="14" t="n"/>
      <c r="I124" s="14" t="n"/>
      <c r="J124" s="15" t="n"/>
      <c r="K124" s="15">
        <f>IF(AND(ISNUMBER(I124),ISNUMBER(J124)),I124*J124,"")</f>
        <v/>
      </c>
      <c r="L124" s="15">
        <f>IF(AND(F124="",K124=""),"",N(F124)+IF(ISNUMBER(K124),K124,0))</f>
        <v/>
      </c>
      <c r="M124" s="14" t="n"/>
    </row>
    <row r="125">
      <c r="A125" s="13" t="n"/>
      <c r="B125" s="14" t="n"/>
      <c r="C125" s="14" t="n"/>
      <c r="D125" s="14" t="n"/>
      <c r="E125" s="14" t="n"/>
      <c r="F125" s="15" t="n"/>
      <c r="G125" s="14" t="n"/>
      <c r="H125" s="14" t="n"/>
      <c r="I125" s="14" t="n"/>
      <c r="J125" s="15" t="n"/>
      <c r="K125" s="15">
        <f>IF(AND(ISNUMBER(I125),ISNUMBER(J125)),I125*J125,"")</f>
        <v/>
      </c>
      <c r="L125" s="15">
        <f>IF(AND(F125="",K125=""),"",N(F125)+IF(ISNUMBER(K125),K125,0))</f>
        <v/>
      </c>
      <c r="M125" s="14" t="n"/>
    </row>
    <row r="126">
      <c r="A126" s="13" t="n"/>
      <c r="B126" s="14" t="n"/>
      <c r="C126" s="14" t="n"/>
      <c r="D126" s="14" t="n"/>
      <c r="E126" s="14" t="n"/>
      <c r="F126" s="15" t="n"/>
      <c r="G126" s="14" t="n"/>
      <c r="H126" s="14" t="n"/>
      <c r="I126" s="14" t="n"/>
      <c r="J126" s="15" t="n"/>
      <c r="K126" s="15">
        <f>IF(AND(ISNUMBER(I126),ISNUMBER(J126)),I126*J126,"")</f>
        <v/>
      </c>
      <c r="L126" s="15">
        <f>IF(AND(F126="",K126=""),"",N(F126)+IF(ISNUMBER(K126),K126,0))</f>
        <v/>
      </c>
      <c r="M126" s="14" t="n"/>
    </row>
    <row r="127">
      <c r="A127" s="13" t="n"/>
      <c r="B127" s="14" t="n"/>
      <c r="C127" s="14" t="n"/>
      <c r="D127" s="14" t="n"/>
      <c r="E127" s="14" t="n"/>
      <c r="F127" s="15" t="n"/>
      <c r="G127" s="14" t="n"/>
      <c r="H127" s="14" t="n"/>
      <c r="I127" s="14" t="n"/>
      <c r="J127" s="15" t="n"/>
      <c r="K127" s="15">
        <f>IF(AND(ISNUMBER(I127),ISNUMBER(J127)),I127*J127,"")</f>
        <v/>
      </c>
      <c r="L127" s="15">
        <f>IF(AND(F127="",K127=""),"",N(F127)+IF(ISNUMBER(K127),K127,0))</f>
        <v/>
      </c>
      <c r="M127" s="14" t="n"/>
    </row>
    <row r="128">
      <c r="A128" s="13" t="n"/>
      <c r="B128" s="14" t="n"/>
      <c r="C128" s="14" t="n"/>
      <c r="D128" s="14" t="n"/>
      <c r="E128" s="14" t="n"/>
      <c r="F128" s="15" t="n"/>
      <c r="G128" s="14" t="n"/>
      <c r="H128" s="14" t="n"/>
      <c r="I128" s="14" t="n"/>
      <c r="J128" s="15" t="n"/>
      <c r="K128" s="15">
        <f>IF(AND(ISNUMBER(I128),ISNUMBER(J128)),I128*J128,"")</f>
        <v/>
      </c>
      <c r="L128" s="15">
        <f>IF(AND(F128="",K128=""),"",N(F128)+IF(ISNUMBER(K128),K128,0))</f>
        <v/>
      </c>
      <c r="M128" s="14" t="n"/>
    </row>
    <row r="129">
      <c r="A129" s="13" t="n"/>
      <c r="B129" s="14" t="n"/>
      <c r="C129" s="14" t="n"/>
      <c r="D129" s="14" t="n"/>
      <c r="E129" s="14" t="n"/>
      <c r="F129" s="15" t="n"/>
      <c r="G129" s="14" t="n"/>
      <c r="H129" s="14" t="n"/>
      <c r="I129" s="14" t="n"/>
      <c r="J129" s="15" t="n"/>
      <c r="K129" s="15">
        <f>IF(AND(ISNUMBER(I129),ISNUMBER(J129)),I129*J129,"")</f>
        <v/>
      </c>
      <c r="L129" s="15">
        <f>IF(AND(F129="",K129=""),"",N(F129)+IF(ISNUMBER(K129),K129,0))</f>
        <v/>
      </c>
      <c r="M129" s="14" t="n"/>
    </row>
    <row r="130">
      <c r="A130" s="13" t="n"/>
      <c r="B130" s="14" t="n"/>
      <c r="C130" s="14" t="n"/>
      <c r="D130" s="14" t="n"/>
      <c r="E130" s="14" t="n"/>
      <c r="F130" s="15" t="n"/>
      <c r="G130" s="14" t="n"/>
      <c r="H130" s="14" t="n"/>
      <c r="I130" s="14" t="n"/>
      <c r="J130" s="15" t="n"/>
      <c r="K130" s="15">
        <f>IF(AND(ISNUMBER(I130),ISNUMBER(J130)),I130*J130,"")</f>
        <v/>
      </c>
      <c r="L130" s="15">
        <f>IF(AND(F130="",K130=""),"",N(F130)+IF(ISNUMBER(K130),K130,0))</f>
        <v/>
      </c>
      <c r="M130" s="14" t="n"/>
    </row>
    <row r="131">
      <c r="A131" s="13" t="n"/>
      <c r="B131" s="14" t="n"/>
      <c r="C131" s="14" t="n"/>
      <c r="D131" s="14" t="n"/>
      <c r="E131" s="14" t="n"/>
      <c r="F131" s="15" t="n"/>
      <c r="G131" s="14" t="n"/>
      <c r="H131" s="14" t="n"/>
      <c r="I131" s="14" t="n"/>
      <c r="J131" s="15" t="n"/>
      <c r="K131" s="15">
        <f>IF(AND(ISNUMBER(I131),ISNUMBER(J131)),I131*J131,"")</f>
        <v/>
      </c>
      <c r="L131" s="15">
        <f>IF(AND(F131="",K131=""),"",N(F131)+IF(ISNUMBER(K131),K131,0))</f>
        <v/>
      </c>
      <c r="M131" s="14" t="n"/>
    </row>
    <row r="132">
      <c r="A132" s="13" t="n"/>
      <c r="B132" s="14" t="n"/>
      <c r="C132" s="14" t="n"/>
      <c r="D132" s="14" t="n"/>
      <c r="E132" s="14" t="n"/>
      <c r="F132" s="15" t="n"/>
      <c r="G132" s="14" t="n"/>
      <c r="H132" s="14" t="n"/>
      <c r="I132" s="14" t="n"/>
      <c r="J132" s="15" t="n"/>
      <c r="K132" s="15">
        <f>IF(AND(ISNUMBER(I132),ISNUMBER(J132)),I132*J132,"")</f>
        <v/>
      </c>
      <c r="L132" s="15">
        <f>IF(AND(F132="",K132=""),"",N(F132)+IF(ISNUMBER(K132),K132,0))</f>
        <v/>
      </c>
      <c r="M132" s="14" t="n"/>
    </row>
    <row r="133">
      <c r="A133" s="13" t="n"/>
      <c r="B133" s="14" t="n"/>
      <c r="C133" s="14" t="n"/>
      <c r="D133" s="14" t="n"/>
      <c r="E133" s="14" t="n"/>
      <c r="F133" s="15" t="n"/>
      <c r="G133" s="14" t="n"/>
      <c r="H133" s="14" t="n"/>
      <c r="I133" s="14" t="n"/>
      <c r="J133" s="15" t="n"/>
      <c r="K133" s="15">
        <f>IF(AND(ISNUMBER(I133),ISNUMBER(J133)),I133*J133,"")</f>
        <v/>
      </c>
      <c r="L133" s="15">
        <f>IF(AND(F133="",K133=""),"",N(F133)+IF(ISNUMBER(K133),K133,0))</f>
        <v/>
      </c>
      <c r="M133" s="14" t="n"/>
    </row>
    <row r="134">
      <c r="A134" s="13" t="n"/>
      <c r="B134" s="14" t="n"/>
      <c r="C134" s="14" t="n"/>
      <c r="D134" s="14" t="n"/>
      <c r="E134" s="14" t="n"/>
      <c r="F134" s="15" t="n"/>
      <c r="G134" s="14" t="n"/>
      <c r="H134" s="14" t="n"/>
      <c r="I134" s="14" t="n"/>
      <c r="J134" s="15" t="n"/>
      <c r="K134" s="15">
        <f>IF(AND(ISNUMBER(I134),ISNUMBER(J134)),I134*J134,"")</f>
        <v/>
      </c>
      <c r="L134" s="15">
        <f>IF(AND(F134="",K134=""),"",N(F134)+IF(ISNUMBER(K134),K134,0))</f>
        <v/>
      </c>
      <c r="M134" s="14" t="n"/>
    </row>
    <row r="135">
      <c r="A135" s="13" t="n"/>
      <c r="B135" s="14" t="n"/>
      <c r="C135" s="14" t="n"/>
      <c r="D135" s="14" t="n"/>
      <c r="E135" s="14" t="n"/>
      <c r="F135" s="15" t="n"/>
      <c r="G135" s="14" t="n"/>
      <c r="H135" s="14" t="n"/>
      <c r="I135" s="14" t="n"/>
      <c r="J135" s="15" t="n"/>
      <c r="K135" s="15">
        <f>IF(AND(ISNUMBER(I135),ISNUMBER(J135)),I135*J135,"")</f>
        <v/>
      </c>
      <c r="L135" s="15">
        <f>IF(AND(F135="",K135=""),"",N(F135)+IF(ISNUMBER(K135),K135,0))</f>
        <v/>
      </c>
      <c r="M135" s="14" t="n"/>
    </row>
    <row r="136">
      <c r="A136" s="13" t="n"/>
      <c r="B136" s="14" t="n"/>
      <c r="C136" s="14" t="n"/>
      <c r="D136" s="14" t="n"/>
      <c r="E136" s="14" t="n"/>
      <c r="F136" s="15" t="n"/>
      <c r="G136" s="14" t="n"/>
      <c r="H136" s="14" t="n"/>
      <c r="I136" s="14" t="n"/>
      <c r="J136" s="15" t="n"/>
      <c r="K136" s="15">
        <f>IF(AND(ISNUMBER(I136),ISNUMBER(J136)),I136*J136,"")</f>
        <v/>
      </c>
      <c r="L136" s="15">
        <f>IF(AND(F136="",K136=""),"",N(F136)+IF(ISNUMBER(K136),K136,0))</f>
        <v/>
      </c>
      <c r="M136" s="14" t="n"/>
    </row>
    <row r="137">
      <c r="A137" s="13" t="n"/>
      <c r="B137" s="14" t="n"/>
      <c r="C137" s="14" t="n"/>
      <c r="D137" s="14" t="n"/>
      <c r="E137" s="14" t="n"/>
      <c r="F137" s="15" t="n"/>
      <c r="G137" s="14" t="n"/>
      <c r="H137" s="14" t="n"/>
      <c r="I137" s="14" t="n"/>
      <c r="J137" s="15" t="n"/>
      <c r="K137" s="15">
        <f>IF(AND(ISNUMBER(I137),ISNUMBER(J137)),I137*J137,"")</f>
        <v/>
      </c>
      <c r="L137" s="15">
        <f>IF(AND(F137="",K137=""),"",N(F137)+IF(ISNUMBER(K137),K137,0))</f>
        <v/>
      </c>
      <c r="M137" s="14" t="n"/>
    </row>
    <row r="138">
      <c r="A138" s="13" t="n"/>
      <c r="B138" s="14" t="n"/>
      <c r="C138" s="14" t="n"/>
      <c r="D138" s="14" t="n"/>
      <c r="E138" s="14" t="n"/>
      <c r="F138" s="15" t="n"/>
      <c r="G138" s="14" t="n"/>
      <c r="H138" s="14" t="n"/>
      <c r="I138" s="14" t="n"/>
      <c r="J138" s="15" t="n"/>
      <c r="K138" s="15">
        <f>IF(AND(ISNUMBER(I138),ISNUMBER(J138)),I138*J138,"")</f>
        <v/>
      </c>
      <c r="L138" s="15">
        <f>IF(AND(F138="",K138=""),"",N(F138)+IF(ISNUMBER(K138),K138,0))</f>
        <v/>
      </c>
      <c r="M138" s="14" t="n"/>
    </row>
    <row r="139">
      <c r="A139" s="13" t="n"/>
      <c r="B139" s="14" t="n"/>
      <c r="C139" s="14" t="n"/>
      <c r="D139" s="14" t="n"/>
      <c r="E139" s="14" t="n"/>
      <c r="F139" s="15" t="n"/>
      <c r="G139" s="14" t="n"/>
      <c r="H139" s="14" t="n"/>
      <c r="I139" s="14" t="n"/>
      <c r="J139" s="15" t="n"/>
      <c r="K139" s="15">
        <f>IF(AND(ISNUMBER(I139),ISNUMBER(J139)),I139*J139,"")</f>
        <v/>
      </c>
      <c r="L139" s="15">
        <f>IF(AND(F139="",K139=""),"",N(F139)+IF(ISNUMBER(K139),K139,0))</f>
        <v/>
      </c>
      <c r="M139" s="14" t="n"/>
    </row>
    <row r="140">
      <c r="A140" s="13" t="n"/>
      <c r="B140" s="14" t="n"/>
      <c r="C140" s="14" t="n"/>
      <c r="D140" s="14" t="n"/>
      <c r="E140" s="14" t="n"/>
      <c r="F140" s="15" t="n"/>
      <c r="G140" s="14" t="n"/>
      <c r="H140" s="14" t="n"/>
      <c r="I140" s="14" t="n"/>
      <c r="J140" s="15" t="n"/>
      <c r="K140" s="15">
        <f>IF(AND(ISNUMBER(I140),ISNUMBER(J140)),I140*J140,"")</f>
        <v/>
      </c>
      <c r="L140" s="15">
        <f>IF(AND(F140="",K140=""),"",N(F140)+IF(ISNUMBER(K140),K140,0))</f>
        <v/>
      </c>
      <c r="M140" s="14" t="n"/>
    </row>
    <row r="141">
      <c r="A141" s="13" t="n"/>
      <c r="B141" s="14" t="n"/>
      <c r="C141" s="14" t="n"/>
      <c r="D141" s="14" t="n"/>
      <c r="E141" s="14" t="n"/>
      <c r="F141" s="15" t="n"/>
      <c r="G141" s="14" t="n"/>
      <c r="H141" s="14" t="n"/>
      <c r="I141" s="14" t="n"/>
      <c r="J141" s="15" t="n"/>
      <c r="K141" s="15">
        <f>IF(AND(ISNUMBER(I141),ISNUMBER(J141)),I141*J141,"")</f>
        <v/>
      </c>
      <c r="L141" s="15">
        <f>IF(AND(F141="",K141=""),"",N(F141)+IF(ISNUMBER(K141),K141,0))</f>
        <v/>
      </c>
      <c r="M141" s="14" t="n"/>
    </row>
    <row r="142">
      <c r="A142" s="13" t="n"/>
      <c r="B142" s="14" t="n"/>
      <c r="C142" s="14" t="n"/>
      <c r="D142" s="14" t="n"/>
      <c r="E142" s="14" t="n"/>
      <c r="F142" s="15" t="n"/>
      <c r="G142" s="14" t="n"/>
      <c r="H142" s="14" t="n"/>
      <c r="I142" s="14" t="n"/>
      <c r="J142" s="15" t="n"/>
      <c r="K142" s="15">
        <f>IF(AND(ISNUMBER(I142),ISNUMBER(J142)),I142*J142,"")</f>
        <v/>
      </c>
      <c r="L142" s="15">
        <f>IF(AND(F142="",K142=""),"",N(F142)+IF(ISNUMBER(K142),K142,0))</f>
        <v/>
      </c>
      <c r="M142" s="14" t="n"/>
    </row>
    <row r="143">
      <c r="A143" s="13" t="n"/>
      <c r="B143" s="14" t="n"/>
      <c r="C143" s="14" t="n"/>
      <c r="D143" s="14" t="n"/>
      <c r="E143" s="14" t="n"/>
      <c r="F143" s="15" t="n"/>
      <c r="G143" s="14" t="n"/>
      <c r="H143" s="14" t="n"/>
      <c r="I143" s="14" t="n"/>
      <c r="J143" s="15" t="n"/>
      <c r="K143" s="15">
        <f>IF(AND(ISNUMBER(I143),ISNUMBER(J143)),I143*J143,"")</f>
        <v/>
      </c>
      <c r="L143" s="15">
        <f>IF(AND(F143="",K143=""),"",N(F143)+IF(ISNUMBER(K143),K143,0))</f>
        <v/>
      </c>
      <c r="M143" s="14" t="n"/>
    </row>
    <row r="144">
      <c r="A144" s="13" t="n"/>
      <c r="B144" s="14" t="n"/>
      <c r="C144" s="14" t="n"/>
      <c r="D144" s="14" t="n"/>
      <c r="E144" s="14" t="n"/>
      <c r="F144" s="15" t="n"/>
      <c r="G144" s="14" t="n"/>
      <c r="H144" s="14" t="n"/>
      <c r="I144" s="14" t="n"/>
      <c r="J144" s="15" t="n"/>
      <c r="K144" s="15">
        <f>IF(AND(ISNUMBER(I144),ISNUMBER(J144)),I144*J144,"")</f>
        <v/>
      </c>
      <c r="L144" s="15">
        <f>IF(AND(F144="",K144=""),"",N(F144)+IF(ISNUMBER(K144),K144,0))</f>
        <v/>
      </c>
      <c r="M144" s="14" t="n"/>
    </row>
    <row r="145">
      <c r="A145" s="13" t="n"/>
      <c r="B145" s="14" t="n"/>
      <c r="C145" s="14" t="n"/>
      <c r="D145" s="14" t="n"/>
      <c r="E145" s="14" t="n"/>
      <c r="F145" s="15" t="n"/>
      <c r="G145" s="14" t="n"/>
      <c r="H145" s="14" t="n"/>
      <c r="I145" s="14" t="n"/>
      <c r="J145" s="15" t="n"/>
      <c r="K145" s="15">
        <f>IF(AND(ISNUMBER(I145),ISNUMBER(J145)),I145*J145,"")</f>
        <v/>
      </c>
      <c r="L145" s="15">
        <f>IF(AND(F145="",K145=""),"",N(F145)+IF(ISNUMBER(K145),K145,0))</f>
        <v/>
      </c>
      <c r="M145" s="14" t="n"/>
    </row>
    <row r="146">
      <c r="A146" s="13" t="n"/>
      <c r="B146" s="14" t="n"/>
      <c r="C146" s="14" t="n"/>
      <c r="D146" s="14" t="n"/>
      <c r="E146" s="14" t="n"/>
      <c r="F146" s="15" t="n"/>
      <c r="G146" s="14" t="n"/>
      <c r="H146" s="14" t="n"/>
      <c r="I146" s="14" t="n"/>
      <c r="J146" s="15" t="n"/>
      <c r="K146" s="15">
        <f>IF(AND(ISNUMBER(I146),ISNUMBER(J146)),I146*J146,"")</f>
        <v/>
      </c>
      <c r="L146" s="15">
        <f>IF(AND(F146="",K146=""),"",N(F146)+IF(ISNUMBER(K146),K146,0))</f>
        <v/>
      </c>
      <c r="M146" s="14" t="n"/>
    </row>
    <row r="147">
      <c r="A147" s="13" t="n"/>
      <c r="B147" s="14" t="n"/>
      <c r="C147" s="14" t="n"/>
      <c r="D147" s="14" t="n"/>
      <c r="E147" s="14" t="n"/>
      <c r="F147" s="15" t="n"/>
      <c r="G147" s="14" t="n"/>
      <c r="H147" s="14" t="n"/>
      <c r="I147" s="14" t="n"/>
      <c r="J147" s="15" t="n"/>
      <c r="K147" s="15">
        <f>IF(AND(ISNUMBER(I147),ISNUMBER(J147)),I147*J147,"")</f>
        <v/>
      </c>
      <c r="L147" s="15">
        <f>IF(AND(F147="",K147=""),"",N(F147)+IF(ISNUMBER(K147),K147,0))</f>
        <v/>
      </c>
      <c r="M147" s="14" t="n"/>
    </row>
    <row r="148">
      <c r="A148" s="13" t="n"/>
      <c r="B148" s="14" t="n"/>
      <c r="C148" s="14" t="n"/>
      <c r="D148" s="14" t="n"/>
      <c r="E148" s="14" t="n"/>
      <c r="F148" s="15" t="n"/>
      <c r="G148" s="14" t="n"/>
      <c r="H148" s="14" t="n"/>
      <c r="I148" s="14" t="n"/>
      <c r="J148" s="15" t="n"/>
      <c r="K148" s="15">
        <f>IF(AND(ISNUMBER(I148),ISNUMBER(J148)),I148*J148,"")</f>
        <v/>
      </c>
      <c r="L148" s="15">
        <f>IF(AND(F148="",K148=""),"",N(F148)+IF(ISNUMBER(K148),K148,0))</f>
        <v/>
      </c>
      <c r="M148" s="14" t="n"/>
    </row>
    <row r="149">
      <c r="A149" s="13" t="n"/>
      <c r="B149" s="14" t="n"/>
      <c r="C149" s="14" t="n"/>
      <c r="D149" s="14" t="n"/>
      <c r="E149" s="14" t="n"/>
      <c r="F149" s="15" t="n"/>
      <c r="G149" s="14" t="n"/>
      <c r="H149" s="14" t="n"/>
      <c r="I149" s="14" t="n"/>
      <c r="J149" s="15" t="n"/>
      <c r="K149" s="15">
        <f>IF(AND(ISNUMBER(I149),ISNUMBER(J149)),I149*J149,"")</f>
        <v/>
      </c>
      <c r="L149" s="15">
        <f>IF(AND(F149="",K149=""),"",N(F149)+IF(ISNUMBER(K149),K149,0))</f>
        <v/>
      </c>
      <c r="M149" s="14" t="n"/>
    </row>
    <row r="150">
      <c r="A150" s="13" t="n"/>
      <c r="B150" s="14" t="n"/>
      <c r="C150" s="14" t="n"/>
      <c r="D150" s="14" t="n"/>
      <c r="E150" s="14" t="n"/>
      <c r="F150" s="15" t="n"/>
      <c r="G150" s="14" t="n"/>
      <c r="H150" s="14" t="n"/>
      <c r="I150" s="14" t="n"/>
      <c r="J150" s="15" t="n"/>
      <c r="K150" s="15">
        <f>IF(AND(ISNUMBER(I150),ISNUMBER(J150)),I150*J150,"")</f>
        <v/>
      </c>
      <c r="L150" s="15">
        <f>IF(AND(F150="",K150=""),"",N(F150)+IF(ISNUMBER(K150),K150,0))</f>
        <v/>
      </c>
      <c r="M150" s="14" t="n"/>
    </row>
    <row r="151">
      <c r="A151" s="13" t="n"/>
      <c r="B151" s="14" t="n"/>
      <c r="C151" s="14" t="n"/>
      <c r="D151" s="14" t="n"/>
      <c r="E151" s="14" t="n"/>
      <c r="F151" s="15" t="n"/>
      <c r="G151" s="14" t="n"/>
      <c r="H151" s="14" t="n"/>
      <c r="I151" s="14" t="n"/>
      <c r="J151" s="15" t="n"/>
      <c r="K151" s="15">
        <f>IF(AND(ISNUMBER(I151),ISNUMBER(J151)),I151*J151,"")</f>
        <v/>
      </c>
      <c r="L151" s="15">
        <f>IF(AND(F151="",K151=""),"",N(F151)+IF(ISNUMBER(K151),K151,0))</f>
        <v/>
      </c>
      <c r="M151" s="14" t="n"/>
    </row>
    <row r="152">
      <c r="A152" s="13" t="n"/>
      <c r="B152" s="14" t="n"/>
      <c r="C152" s="14" t="n"/>
      <c r="D152" s="14" t="n"/>
      <c r="E152" s="14" t="n"/>
      <c r="F152" s="15" t="n"/>
      <c r="G152" s="14" t="n"/>
      <c r="H152" s="14" t="n"/>
      <c r="I152" s="14" t="n"/>
      <c r="J152" s="15" t="n"/>
      <c r="K152" s="15">
        <f>IF(AND(ISNUMBER(I152),ISNUMBER(J152)),I152*J152,"")</f>
        <v/>
      </c>
      <c r="L152" s="15">
        <f>IF(AND(F152="",K152=""),"",N(F152)+IF(ISNUMBER(K152),K152,0))</f>
        <v/>
      </c>
      <c r="M152" s="14" t="n"/>
    </row>
    <row r="153">
      <c r="A153" s="13" t="n"/>
      <c r="B153" s="14" t="n"/>
      <c r="C153" s="14" t="n"/>
      <c r="D153" s="14" t="n"/>
      <c r="E153" s="14" t="n"/>
      <c r="F153" s="15" t="n"/>
      <c r="G153" s="14" t="n"/>
      <c r="H153" s="14" t="n"/>
      <c r="I153" s="14" t="n"/>
      <c r="J153" s="15" t="n"/>
      <c r="K153" s="15">
        <f>IF(AND(ISNUMBER(I153),ISNUMBER(J153)),I153*J153,"")</f>
        <v/>
      </c>
      <c r="L153" s="15">
        <f>IF(AND(F153="",K153=""),"",N(F153)+IF(ISNUMBER(K153),K153,0))</f>
        <v/>
      </c>
      <c r="M153" s="14" t="n"/>
    </row>
    <row r="154">
      <c r="A154" s="13" t="n"/>
      <c r="B154" s="14" t="n"/>
      <c r="C154" s="14" t="n"/>
      <c r="D154" s="14" t="n"/>
      <c r="E154" s="14" t="n"/>
      <c r="F154" s="15" t="n"/>
      <c r="G154" s="14" t="n"/>
      <c r="H154" s="14" t="n"/>
      <c r="I154" s="14" t="n"/>
      <c r="J154" s="15" t="n"/>
      <c r="K154" s="15">
        <f>IF(AND(ISNUMBER(I154),ISNUMBER(J154)),I154*J154,"")</f>
        <v/>
      </c>
      <c r="L154" s="15">
        <f>IF(AND(F154="",K154=""),"",N(F154)+IF(ISNUMBER(K154),K154,0))</f>
        <v/>
      </c>
      <c r="M154" s="14" t="n"/>
    </row>
    <row r="155">
      <c r="A155" s="13" t="n"/>
      <c r="B155" s="14" t="n"/>
      <c r="C155" s="14" t="n"/>
      <c r="D155" s="14" t="n"/>
      <c r="E155" s="14" t="n"/>
      <c r="F155" s="15" t="n"/>
      <c r="G155" s="14" t="n"/>
      <c r="H155" s="14" t="n"/>
      <c r="I155" s="14" t="n"/>
      <c r="J155" s="15" t="n"/>
      <c r="K155" s="15">
        <f>IF(AND(ISNUMBER(I155),ISNUMBER(J155)),I155*J155,"")</f>
        <v/>
      </c>
      <c r="L155" s="15">
        <f>IF(AND(F155="",K155=""),"",N(F155)+IF(ISNUMBER(K155),K155,0))</f>
        <v/>
      </c>
      <c r="M155" s="14" t="n"/>
    </row>
    <row r="156">
      <c r="A156" s="13" t="n"/>
      <c r="B156" s="14" t="n"/>
      <c r="C156" s="14" t="n"/>
      <c r="D156" s="14" t="n"/>
      <c r="E156" s="14" t="n"/>
      <c r="F156" s="15" t="n"/>
      <c r="G156" s="14" t="n"/>
      <c r="H156" s="14" t="n"/>
      <c r="I156" s="14" t="n"/>
      <c r="J156" s="15" t="n"/>
      <c r="K156" s="15">
        <f>IF(AND(ISNUMBER(I156),ISNUMBER(J156)),I156*J156,"")</f>
        <v/>
      </c>
      <c r="L156" s="15">
        <f>IF(AND(F156="",K156=""),"",N(F156)+IF(ISNUMBER(K156),K156,0))</f>
        <v/>
      </c>
      <c r="M156" s="14" t="n"/>
    </row>
    <row r="157">
      <c r="A157" s="13" t="n"/>
      <c r="B157" s="14" t="n"/>
      <c r="C157" s="14" t="n"/>
      <c r="D157" s="14" t="n"/>
      <c r="E157" s="14" t="n"/>
      <c r="F157" s="15" t="n"/>
      <c r="G157" s="14" t="n"/>
      <c r="H157" s="14" t="n"/>
      <c r="I157" s="14" t="n"/>
      <c r="J157" s="15" t="n"/>
      <c r="K157" s="15">
        <f>IF(AND(ISNUMBER(I157),ISNUMBER(J157)),I157*J157,"")</f>
        <v/>
      </c>
      <c r="L157" s="15">
        <f>IF(AND(F157="",K157=""),"",N(F157)+IF(ISNUMBER(K157),K157,0))</f>
        <v/>
      </c>
      <c r="M157" s="14" t="n"/>
    </row>
    <row r="158">
      <c r="A158" s="13" t="n"/>
      <c r="B158" s="14" t="n"/>
      <c r="C158" s="14" t="n"/>
      <c r="D158" s="14" t="n"/>
      <c r="E158" s="14" t="n"/>
      <c r="F158" s="15" t="n"/>
      <c r="G158" s="14" t="n"/>
      <c r="H158" s="14" t="n"/>
      <c r="I158" s="14" t="n"/>
      <c r="J158" s="15" t="n"/>
      <c r="K158" s="15">
        <f>IF(AND(ISNUMBER(I158),ISNUMBER(J158)),I158*J158,"")</f>
        <v/>
      </c>
      <c r="L158" s="15">
        <f>IF(AND(F158="",K158=""),"",N(F158)+IF(ISNUMBER(K158),K158,0))</f>
        <v/>
      </c>
      <c r="M158" s="14" t="n"/>
    </row>
    <row r="159">
      <c r="A159" s="13" t="n"/>
      <c r="B159" s="14" t="n"/>
      <c r="C159" s="14" t="n"/>
      <c r="D159" s="14" t="n"/>
      <c r="E159" s="14" t="n"/>
      <c r="F159" s="15" t="n"/>
      <c r="G159" s="14" t="n"/>
      <c r="H159" s="14" t="n"/>
      <c r="I159" s="14" t="n"/>
      <c r="J159" s="15" t="n"/>
      <c r="K159" s="15">
        <f>IF(AND(ISNUMBER(I159),ISNUMBER(J159)),I159*J159,"")</f>
        <v/>
      </c>
      <c r="L159" s="15">
        <f>IF(AND(F159="",K159=""),"",N(F159)+IF(ISNUMBER(K159),K159,0))</f>
        <v/>
      </c>
      <c r="M159" s="14" t="n"/>
    </row>
    <row r="160">
      <c r="A160" s="13" t="n"/>
      <c r="B160" s="14" t="n"/>
      <c r="C160" s="14" t="n"/>
      <c r="D160" s="14" t="n"/>
      <c r="E160" s="14" t="n"/>
      <c r="F160" s="15" t="n"/>
      <c r="G160" s="14" t="n"/>
      <c r="H160" s="14" t="n"/>
      <c r="I160" s="14" t="n"/>
      <c r="J160" s="15" t="n"/>
      <c r="K160" s="15">
        <f>IF(AND(ISNUMBER(I160),ISNUMBER(J160)),I160*J160,"")</f>
        <v/>
      </c>
      <c r="L160" s="15">
        <f>IF(AND(F160="",K160=""),"",N(F160)+IF(ISNUMBER(K160),K160,0))</f>
        <v/>
      </c>
      <c r="M160" s="14" t="n"/>
    </row>
    <row r="161">
      <c r="A161" s="13" t="n"/>
      <c r="B161" s="14" t="n"/>
      <c r="C161" s="14" t="n"/>
      <c r="D161" s="14" t="n"/>
      <c r="E161" s="14" t="n"/>
      <c r="F161" s="15" t="n"/>
      <c r="G161" s="14" t="n"/>
      <c r="H161" s="14" t="n"/>
      <c r="I161" s="14" t="n"/>
      <c r="J161" s="15" t="n"/>
      <c r="K161" s="15">
        <f>IF(AND(ISNUMBER(I161),ISNUMBER(J161)),I161*J161,"")</f>
        <v/>
      </c>
      <c r="L161" s="15">
        <f>IF(AND(F161="",K161=""),"",N(F161)+IF(ISNUMBER(K161),K161,0))</f>
        <v/>
      </c>
      <c r="M161" s="14" t="n"/>
    </row>
    <row r="162">
      <c r="A162" s="13" t="n"/>
      <c r="B162" s="14" t="n"/>
      <c r="C162" s="14" t="n"/>
      <c r="D162" s="14" t="n"/>
      <c r="E162" s="14" t="n"/>
      <c r="F162" s="15" t="n"/>
      <c r="G162" s="14" t="n"/>
      <c r="H162" s="14" t="n"/>
      <c r="I162" s="14" t="n"/>
      <c r="J162" s="15" t="n"/>
      <c r="K162" s="15">
        <f>IF(AND(ISNUMBER(I162),ISNUMBER(J162)),I162*J162,"")</f>
        <v/>
      </c>
      <c r="L162" s="15">
        <f>IF(AND(F162="",K162=""),"",N(F162)+IF(ISNUMBER(K162),K162,0))</f>
        <v/>
      </c>
      <c r="M162" s="14" t="n"/>
    </row>
    <row r="163">
      <c r="A163" s="13" t="n"/>
      <c r="B163" s="14" t="n"/>
      <c r="C163" s="14" t="n"/>
      <c r="D163" s="14" t="n"/>
      <c r="E163" s="14" t="n"/>
      <c r="F163" s="15" t="n"/>
      <c r="G163" s="14" t="n"/>
      <c r="H163" s="14" t="n"/>
      <c r="I163" s="14" t="n"/>
      <c r="J163" s="15" t="n"/>
      <c r="K163" s="15">
        <f>IF(AND(ISNUMBER(I163),ISNUMBER(J163)),I163*J163,"")</f>
        <v/>
      </c>
      <c r="L163" s="15">
        <f>IF(AND(F163="",K163=""),"",N(F163)+IF(ISNUMBER(K163),K163,0))</f>
        <v/>
      </c>
      <c r="M163" s="14" t="n"/>
    </row>
    <row r="164">
      <c r="A164" s="13" t="n"/>
      <c r="B164" s="14" t="n"/>
      <c r="C164" s="14" t="n"/>
      <c r="D164" s="14" t="n"/>
      <c r="E164" s="14" t="n"/>
      <c r="F164" s="15" t="n"/>
      <c r="G164" s="14" t="n"/>
      <c r="H164" s="14" t="n"/>
      <c r="I164" s="14" t="n"/>
      <c r="J164" s="15" t="n"/>
      <c r="K164" s="15">
        <f>IF(AND(ISNUMBER(I164),ISNUMBER(J164)),I164*J164,"")</f>
        <v/>
      </c>
      <c r="L164" s="15">
        <f>IF(AND(F164="",K164=""),"",N(F164)+IF(ISNUMBER(K164),K164,0))</f>
        <v/>
      </c>
      <c r="M164" s="14" t="n"/>
    </row>
    <row r="165">
      <c r="A165" s="13" t="n"/>
      <c r="B165" s="14" t="n"/>
      <c r="C165" s="14" t="n"/>
      <c r="D165" s="14" t="n"/>
      <c r="E165" s="14" t="n"/>
      <c r="F165" s="15" t="n"/>
      <c r="G165" s="14" t="n"/>
      <c r="H165" s="14" t="n"/>
      <c r="I165" s="14" t="n"/>
      <c r="J165" s="15" t="n"/>
      <c r="K165" s="15">
        <f>IF(AND(ISNUMBER(I165),ISNUMBER(J165)),I165*J165,"")</f>
        <v/>
      </c>
      <c r="L165" s="15">
        <f>IF(AND(F165="",K165=""),"",N(F165)+IF(ISNUMBER(K165),K165,0))</f>
        <v/>
      </c>
      <c r="M165" s="14" t="n"/>
    </row>
    <row r="166">
      <c r="A166" s="13" t="n"/>
      <c r="B166" s="14" t="n"/>
      <c r="C166" s="14" t="n"/>
      <c r="D166" s="14" t="n"/>
      <c r="E166" s="14" t="n"/>
      <c r="F166" s="15" t="n"/>
      <c r="G166" s="14" t="n"/>
      <c r="H166" s="14" t="n"/>
      <c r="I166" s="14" t="n"/>
      <c r="J166" s="15" t="n"/>
      <c r="K166" s="15">
        <f>IF(AND(ISNUMBER(I166),ISNUMBER(J166)),I166*J166,"")</f>
        <v/>
      </c>
      <c r="L166" s="15">
        <f>IF(AND(F166="",K166=""),"",N(F166)+IF(ISNUMBER(K166),K166,0))</f>
        <v/>
      </c>
      <c r="M166" s="14" t="n"/>
    </row>
    <row r="167">
      <c r="A167" s="13" t="n"/>
      <c r="B167" s="14" t="n"/>
      <c r="C167" s="14" t="n"/>
      <c r="D167" s="14" t="n"/>
      <c r="E167" s="14" t="n"/>
      <c r="F167" s="15" t="n"/>
      <c r="G167" s="14" t="n"/>
      <c r="H167" s="14" t="n"/>
      <c r="I167" s="14" t="n"/>
      <c r="J167" s="15" t="n"/>
      <c r="K167" s="15">
        <f>IF(AND(ISNUMBER(I167),ISNUMBER(J167)),I167*J167,"")</f>
        <v/>
      </c>
      <c r="L167" s="15">
        <f>IF(AND(F167="",K167=""),"",N(F167)+IF(ISNUMBER(K167),K167,0))</f>
        <v/>
      </c>
      <c r="M167" s="14" t="n"/>
    </row>
    <row r="168">
      <c r="A168" s="13" t="n"/>
      <c r="B168" s="14" t="n"/>
      <c r="C168" s="14" t="n"/>
      <c r="D168" s="14" t="n"/>
      <c r="E168" s="14" t="n"/>
      <c r="F168" s="15" t="n"/>
      <c r="G168" s="14" t="n"/>
      <c r="H168" s="14" t="n"/>
      <c r="I168" s="14" t="n"/>
      <c r="J168" s="15" t="n"/>
      <c r="K168" s="15">
        <f>IF(AND(ISNUMBER(I168),ISNUMBER(J168)),I168*J168,"")</f>
        <v/>
      </c>
      <c r="L168" s="15">
        <f>IF(AND(F168="",K168=""),"",N(F168)+IF(ISNUMBER(K168),K168,0))</f>
        <v/>
      </c>
      <c r="M168" s="14" t="n"/>
    </row>
    <row r="169">
      <c r="A169" s="13" t="n"/>
      <c r="B169" s="14" t="n"/>
      <c r="C169" s="14" t="n"/>
      <c r="D169" s="14" t="n"/>
      <c r="E169" s="14" t="n"/>
      <c r="F169" s="15" t="n"/>
      <c r="G169" s="14" t="n"/>
      <c r="H169" s="14" t="n"/>
      <c r="I169" s="14" t="n"/>
      <c r="J169" s="15" t="n"/>
      <c r="K169" s="15">
        <f>IF(AND(ISNUMBER(I169),ISNUMBER(J169)),I169*J169,"")</f>
        <v/>
      </c>
      <c r="L169" s="15">
        <f>IF(AND(F169="",K169=""),"",N(F169)+IF(ISNUMBER(K169),K169,0))</f>
        <v/>
      </c>
      <c r="M169" s="14" t="n"/>
    </row>
    <row r="170">
      <c r="A170" s="13" t="n"/>
      <c r="B170" s="14" t="n"/>
      <c r="C170" s="14" t="n"/>
      <c r="D170" s="14" t="n"/>
      <c r="E170" s="14" t="n"/>
      <c r="F170" s="15" t="n"/>
      <c r="G170" s="14" t="n"/>
      <c r="H170" s="14" t="n"/>
      <c r="I170" s="14" t="n"/>
      <c r="J170" s="15" t="n"/>
      <c r="K170" s="15">
        <f>IF(AND(ISNUMBER(I170),ISNUMBER(J170)),I170*J170,"")</f>
        <v/>
      </c>
      <c r="L170" s="15">
        <f>IF(AND(F170="",K170=""),"",N(F170)+IF(ISNUMBER(K170),K170,0))</f>
        <v/>
      </c>
      <c r="M170" s="14" t="n"/>
    </row>
    <row r="171">
      <c r="A171" s="13" t="n"/>
      <c r="B171" s="14" t="n"/>
      <c r="C171" s="14" t="n"/>
      <c r="D171" s="14" t="n"/>
      <c r="E171" s="14" t="n"/>
      <c r="F171" s="15" t="n"/>
      <c r="G171" s="14" t="n"/>
      <c r="H171" s="14" t="n"/>
      <c r="I171" s="14" t="n"/>
      <c r="J171" s="15" t="n"/>
      <c r="K171" s="15">
        <f>IF(AND(ISNUMBER(I171),ISNUMBER(J171)),I171*J171,"")</f>
        <v/>
      </c>
      <c r="L171" s="15">
        <f>IF(AND(F171="",K171=""),"",N(F171)+IF(ISNUMBER(K171),K171,0))</f>
        <v/>
      </c>
      <c r="M171" s="14" t="n"/>
    </row>
    <row r="172">
      <c r="A172" s="13" t="n"/>
      <c r="B172" s="14" t="n"/>
      <c r="C172" s="14" t="n"/>
      <c r="D172" s="14" t="n"/>
      <c r="E172" s="14" t="n"/>
      <c r="F172" s="15" t="n"/>
      <c r="G172" s="14" t="n"/>
      <c r="H172" s="14" t="n"/>
      <c r="I172" s="14" t="n"/>
      <c r="J172" s="15" t="n"/>
      <c r="K172" s="15">
        <f>IF(AND(ISNUMBER(I172),ISNUMBER(J172)),I172*J172,"")</f>
        <v/>
      </c>
      <c r="L172" s="15">
        <f>IF(AND(F172="",K172=""),"",N(F172)+IF(ISNUMBER(K172),K172,0))</f>
        <v/>
      </c>
      <c r="M172" s="14" t="n"/>
    </row>
    <row r="173">
      <c r="A173" s="13" t="n"/>
      <c r="B173" s="14" t="n"/>
      <c r="C173" s="14" t="n"/>
      <c r="D173" s="14" t="n"/>
      <c r="E173" s="14" t="n"/>
      <c r="F173" s="15" t="n"/>
      <c r="G173" s="14" t="n"/>
      <c r="H173" s="14" t="n"/>
      <c r="I173" s="14" t="n"/>
      <c r="J173" s="15" t="n"/>
      <c r="K173" s="15">
        <f>IF(AND(ISNUMBER(I173),ISNUMBER(J173)),I173*J173,"")</f>
        <v/>
      </c>
      <c r="L173" s="15">
        <f>IF(AND(F173="",K173=""),"",N(F173)+IF(ISNUMBER(K173),K173,0))</f>
        <v/>
      </c>
      <c r="M173" s="14" t="n"/>
    </row>
    <row r="174">
      <c r="A174" s="13" t="n"/>
      <c r="B174" s="14" t="n"/>
      <c r="C174" s="14" t="n"/>
      <c r="D174" s="14" t="n"/>
      <c r="E174" s="14" t="n"/>
      <c r="F174" s="15" t="n"/>
      <c r="G174" s="14" t="n"/>
      <c r="H174" s="14" t="n"/>
      <c r="I174" s="14" t="n"/>
      <c r="J174" s="15" t="n"/>
      <c r="K174" s="15">
        <f>IF(AND(ISNUMBER(I174),ISNUMBER(J174)),I174*J174,"")</f>
        <v/>
      </c>
      <c r="L174" s="15">
        <f>IF(AND(F174="",K174=""),"",N(F174)+IF(ISNUMBER(K174),K174,0))</f>
        <v/>
      </c>
      <c r="M174" s="14" t="n"/>
    </row>
    <row r="175">
      <c r="A175" s="13" t="n"/>
      <c r="B175" s="14" t="n"/>
      <c r="C175" s="14" t="n"/>
      <c r="D175" s="14" t="n"/>
      <c r="E175" s="14" t="n"/>
      <c r="F175" s="15" t="n"/>
      <c r="G175" s="14" t="n"/>
      <c r="H175" s="14" t="n"/>
      <c r="I175" s="14" t="n"/>
      <c r="J175" s="15" t="n"/>
      <c r="K175" s="15">
        <f>IF(AND(ISNUMBER(I175),ISNUMBER(J175)),I175*J175,"")</f>
        <v/>
      </c>
      <c r="L175" s="15">
        <f>IF(AND(F175="",K175=""),"",N(F175)+IF(ISNUMBER(K175),K175,0))</f>
        <v/>
      </c>
      <c r="M175" s="14" t="n"/>
    </row>
    <row r="176">
      <c r="A176" s="13" t="n"/>
      <c r="B176" s="14" t="n"/>
      <c r="C176" s="14" t="n"/>
      <c r="D176" s="14" t="n"/>
      <c r="E176" s="14" t="n"/>
      <c r="F176" s="15" t="n"/>
      <c r="G176" s="14" t="n"/>
      <c r="H176" s="14" t="n"/>
      <c r="I176" s="14" t="n"/>
      <c r="J176" s="15" t="n"/>
      <c r="K176" s="15">
        <f>IF(AND(ISNUMBER(I176),ISNUMBER(J176)),I176*J176,"")</f>
        <v/>
      </c>
      <c r="L176" s="15">
        <f>IF(AND(F176="",K176=""),"",N(F176)+IF(ISNUMBER(K176),K176,0))</f>
        <v/>
      </c>
      <c r="M176" s="14" t="n"/>
    </row>
    <row r="177">
      <c r="A177" s="13" t="n"/>
      <c r="B177" s="14" t="n"/>
      <c r="C177" s="14" t="n"/>
      <c r="D177" s="14" t="n"/>
      <c r="E177" s="14" t="n"/>
      <c r="F177" s="15" t="n"/>
      <c r="G177" s="14" t="n"/>
      <c r="H177" s="14" t="n"/>
      <c r="I177" s="14" t="n"/>
      <c r="J177" s="15" t="n"/>
      <c r="K177" s="15">
        <f>IF(AND(ISNUMBER(I177),ISNUMBER(J177)),I177*J177,"")</f>
        <v/>
      </c>
      <c r="L177" s="15">
        <f>IF(AND(F177="",K177=""),"",N(F177)+IF(ISNUMBER(K177),K177,0))</f>
        <v/>
      </c>
      <c r="M177" s="14" t="n"/>
    </row>
    <row r="178">
      <c r="A178" s="13" t="n"/>
      <c r="B178" s="14" t="n"/>
      <c r="C178" s="14" t="n"/>
      <c r="D178" s="14" t="n"/>
      <c r="E178" s="14" t="n"/>
      <c r="F178" s="15" t="n"/>
      <c r="G178" s="14" t="n"/>
      <c r="H178" s="14" t="n"/>
      <c r="I178" s="14" t="n"/>
      <c r="J178" s="15" t="n"/>
      <c r="K178" s="15">
        <f>IF(AND(ISNUMBER(I178),ISNUMBER(J178)),I178*J178,"")</f>
        <v/>
      </c>
      <c r="L178" s="15">
        <f>IF(AND(F178="",K178=""),"",N(F178)+IF(ISNUMBER(K178),K178,0))</f>
        <v/>
      </c>
      <c r="M178" s="14" t="n"/>
    </row>
    <row r="179">
      <c r="A179" s="13" t="n"/>
      <c r="B179" s="14" t="n"/>
      <c r="C179" s="14" t="n"/>
      <c r="D179" s="14" t="n"/>
      <c r="E179" s="14" t="n"/>
      <c r="F179" s="15" t="n"/>
      <c r="G179" s="14" t="n"/>
      <c r="H179" s="14" t="n"/>
      <c r="I179" s="14" t="n"/>
      <c r="J179" s="15" t="n"/>
      <c r="K179" s="15">
        <f>IF(AND(ISNUMBER(I179),ISNUMBER(J179)),I179*J179,"")</f>
        <v/>
      </c>
      <c r="L179" s="15">
        <f>IF(AND(F179="",K179=""),"",N(F179)+IF(ISNUMBER(K179),K179,0))</f>
        <v/>
      </c>
      <c r="M179" s="14" t="n"/>
    </row>
    <row r="180">
      <c r="A180" s="13" t="n"/>
      <c r="B180" s="14" t="n"/>
      <c r="C180" s="14" t="n"/>
      <c r="D180" s="14" t="n"/>
      <c r="E180" s="14" t="n"/>
      <c r="F180" s="15" t="n"/>
      <c r="G180" s="14" t="n"/>
      <c r="H180" s="14" t="n"/>
      <c r="I180" s="14" t="n"/>
      <c r="J180" s="15" t="n"/>
      <c r="K180" s="15">
        <f>IF(AND(ISNUMBER(I180),ISNUMBER(J180)),I180*J180,"")</f>
        <v/>
      </c>
      <c r="L180" s="15">
        <f>IF(AND(F180="",K180=""),"",N(F180)+IF(ISNUMBER(K180),K180,0))</f>
        <v/>
      </c>
      <c r="M180" s="14" t="n"/>
    </row>
    <row r="181">
      <c r="A181" s="13" t="n"/>
      <c r="B181" s="14" t="n"/>
      <c r="C181" s="14" t="n"/>
      <c r="D181" s="14" t="n"/>
      <c r="E181" s="14" t="n"/>
      <c r="F181" s="15" t="n"/>
      <c r="G181" s="14" t="n"/>
      <c r="H181" s="14" t="n"/>
      <c r="I181" s="14" t="n"/>
      <c r="J181" s="15" t="n"/>
      <c r="K181" s="15">
        <f>IF(AND(ISNUMBER(I181),ISNUMBER(J181)),I181*J181,"")</f>
        <v/>
      </c>
      <c r="L181" s="15">
        <f>IF(AND(F181="",K181=""),"",N(F181)+IF(ISNUMBER(K181),K181,0))</f>
        <v/>
      </c>
      <c r="M181" s="14" t="n"/>
    </row>
    <row r="182">
      <c r="A182" s="13" t="n"/>
      <c r="B182" s="14" t="n"/>
      <c r="C182" s="14" t="n"/>
      <c r="D182" s="14" t="n"/>
      <c r="E182" s="14" t="n"/>
      <c r="F182" s="15" t="n"/>
      <c r="G182" s="14" t="n"/>
      <c r="H182" s="14" t="n"/>
      <c r="I182" s="14" t="n"/>
      <c r="J182" s="15" t="n"/>
      <c r="K182" s="15">
        <f>IF(AND(ISNUMBER(I182),ISNUMBER(J182)),I182*J182,"")</f>
        <v/>
      </c>
      <c r="L182" s="15">
        <f>IF(AND(F182="",K182=""),"",N(F182)+IF(ISNUMBER(K182),K182,0))</f>
        <v/>
      </c>
      <c r="M182" s="14" t="n"/>
    </row>
    <row r="183">
      <c r="A183" s="13" t="n"/>
      <c r="B183" s="14" t="n"/>
      <c r="C183" s="14" t="n"/>
      <c r="D183" s="14" t="n"/>
      <c r="E183" s="14" t="n"/>
      <c r="F183" s="15" t="n"/>
      <c r="G183" s="14" t="n"/>
      <c r="H183" s="14" t="n"/>
      <c r="I183" s="14" t="n"/>
      <c r="J183" s="15" t="n"/>
      <c r="K183" s="15">
        <f>IF(AND(ISNUMBER(I183),ISNUMBER(J183)),I183*J183,"")</f>
        <v/>
      </c>
      <c r="L183" s="15">
        <f>IF(AND(F183="",K183=""),"",N(F183)+IF(ISNUMBER(K183),K183,0))</f>
        <v/>
      </c>
      <c r="M183" s="14" t="n"/>
    </row>
    <row r="184">
      <c r="A184" s="13" t="n"/>
      <c r="B184" s="14" t="n"/>
      <c r="C184" s="14" t="n"/>
      <c r="D184" s="14" t="n"/>
      <c r="E184" s="14" t="n"/>
      <c r="F184" s="15" t="n"/>
      <c r="G184" s="14" t="n"/>
      <c r="H184" s="14" t="n"/>
      <c r="I184" s="14" t="n"/>
      <c r="J184" s="15" t="n"/>
      <c r="K184" s="15">
        <f>IF(AND(ISNUMBER(I184),ISNUMBER(J184)),I184*J184,"")</f>
        <v/>
      </c>
      <c r="L184" s="15">
        <f>IF(AND(F184="",K184=""),"",N(F184)+IF(ISNUMBER(K184),K184,0))</f>
        <v/>
      </c>
      <c r="M184" s="14" t="n"/>
    </row>
    <row r="185">
      <c r="A185" s="13" t="n"/>
      <c r="B185" s="14" t="n"/>
      <c r="C185" s="14" t="n"/>
      <c r="D185" s="14" t="n"/>
      <c r="E185" s="14" t="n"/>
      <c r="F185" s="15" t="n"/>
      <c r="G185" s="14" t="n"/>
      <c r="H185" s="14" t="n"/>
      <c r="I185" s="14" t="n"/>
      <c r="J185" s="15" t="n"/>
      <c r="K185" s="15">
        <f>IF(AND(ISNUMBER(I185),ISNUMBER(J185)),I185*J185,"")</f>
        <v/>
      </c>
      <c r="L185" s="15">
        <f>IF(AND(F185="",K185=""),"",N(F185)+IF(ISNUMBER(K185),K185,0))</f>
        <v/>
      </c>
      <c r="M185" s="14" t="n"/>
    </row>
    <row r="186">
      <c r="A186" s="13" t="n"/>
      <c r="B186" s="14" t="n"/>
      <c r="C186" s="14" t="n"/>
      <c r="D186" s="14" t="n"/>
      <c r="E186" s="14" t="n"/>
      <c r="F186" s="15" t="n"/>
      <c r="G186" s="14" t="n"/>
      <c r="H186" s="14" t="n"/>
      <c r="I186" s="14" t="n"/>
      <c r="J186" s="15" t="n"/>
      <c r="K186" s="15">
        <f>IF(AND(ISNUMBER(I186),ISNUMBER(J186)),I186*J186,"")</f>
        <v/>
      </c>
      <c r="L186" s="15">
        <f>IF(AND(F186="",K186=""),"",N(F186)+IF(ISNUMBER(K186),K186,0))</f>
        <v/>
      </c>
      <c r="M186" s="14" t="n"/>
    </row>
    <row r="187">
      <c r="A187" s="13" t="n"/>
      <c r="B187" s="14" t="n"/>
      <c r="C187" s="14" t="n"/>
      <c r="D187" s="14" t="n"/>
      <c r="E187" s="14" t="n"/>
      <c r="F187" s="15" t="n"/>
      <c r="G187" s="14" t="n"/>
      <c r="H187" s="14" t="n"/>
      <c r="I187" s="14" t="n"/>
      <c r="J187" s="15" t="n"/>
      <c r="K187" s="15">
        <f>IF(AND(ISNUMBER(I187),ISNUMBER(J187)),I187*J187,"")</f>
        <v/>
      </c>
      <c r="L187" s="15">
        <f>IF(AND(F187="",K187=""),"",N(F187)+IF(ISNUMBER(K187),K187,0))</f>
        <v/>
      </c>
      <c r="M187" s="14" t="n"/>
    </row>
    <row r="188">
      <c r="A188" s="13" t="n"/>
      <c r="B188" s="14" t="n"/>
      <c r="C188" s="14" t="n"/>
      <c r="D188" s="14" t="n"/>
      <c r="E188" s="14" t="n"/>
      <c r="F188" s="15" t="n"/>
      <c r="G188" s="14" t="n"/>
      <c r="H188" s="14" t="n"/>
      <c r="I188" s="14" t="n"/>
      <c r="J188" s="15" t="n"/>
      <c r="K188" s="15">
        <f>IF(AND(ISNUMBER(I188),ISNUMBER(J188)),I188*J188,"")</f>
        <v/>
      </c>
      <c r="L188" s="15">
        <f>IF(AND(F188="",K188=""),"",N(F188)+IF(ISNUMBER(K188),K188,0))</f>
        <v/>
      </c>
      <c r="M188" s="14" t="n"/>
    </row>
    <row r="189">
      <c r="A189" s="13" t="n"/>
      <c r="B189" s="14" t="n"/>
      <c r="C189" s="14" t="n"/>
      <c r="D189" s="14" t="n"/>
      <c r="E189" s="14" t="n"/>
      <c r="F189" s="15" t="n"/>
      <c r="G189" s="14" t="n"/>
      <c r="H189" s="14" t="n"/>
      <c r="I189" s="14" t="n"/>
      <c r="J189" s="15" t="n"/>
      <c r="K189" s="15">
        <f>IF(AND(ISNUMBER(I189),ISNUMBER(J189)),I189*J189,"")</f>
        <v/>
      </c>
      <c r="L189" s="15">
        <f>IF(AND(F189="",K189=""),"",N(F189)+IF(ISNUMBER(K189),K189,0))</f>
        <v/>
      </c>
      <c r="M189" s="14" t="n"/>
    </row>
    <row r="190">
      <c r="A190" s="13" t="n"/>
      <c r="B190" s="14" t="n"/>
      <c r="C190" s="14" t="n"/>
      <c r="D190" s="14" t="n"/>
      <c r="E190" s="14" t="n"/>
      <c r="F190" s="15" t="n"/>
      <c r="G190" s="14" t="n"/>
      <c r="H190" s="14" t="n"/>
      <c r="I190" s="14" t="n"/>
      <c r="J190" s="15" t="n"/>
      <c r="K190" s="15">
        <f>IF(AND(ISNUMBER(I190),ISNUMBER(J190)),I190*J190,"")</f>
        <v/>
      </c>
      <c r="L190" s="15">
        <f>IF(AND(F190="",K190=""),"",N(F190)+IF(ISNUMBER(K190),K190,0))</f>
        <v/>
      </c>
      <c r="M190" s="14" t="n"/>
    </row>
    <row r="191">
      <c r="A191" s="13" t="n"/>
      <c r="B191" s="14" t="n"/>
      <c r="C191" s="14" t="n"/>
      <c r="D191" s="14" t="n"/>
      <c r="E191" s="14" t="n"/>
      <c r="F191" s="15" t="n"/>
      <c r="G191" s="14" t="n"/>
      <c r="H191" s="14" t="n"/>
      <c r="I191" s="14" t="n"/>
      <c r="J191" s="15" t="n"/>
      <c r="K191" s="15">
        <f>IF(AND(ISNUMBER(I191),ISNUMBER(J191)),I191*J191,"")</f>
        <v/>
      </c>
      <c r="L191" s="15">
        <f>IF(AND(F191="",K191=""),"",N(F191)+IF(ISNUMBER(K191),K191,0))</f>
        <v/>
      </c>
      <c r="M191" s="14" t="n"/>
    </row>
    <row r="192">
      <c r="A192" s="13" t="n"/>
      <c r="B192" s="14" t="n"/>
      <c r="C192" s="14" t="n"/>
      <c r="D192" s="14" t="n"/>
      <c r="E192" s="14" t="n"/>
      <c r="F192" s="15" t="n"/>
      <c r="G192" s="14" t="n"/>
      <c r="H192" s="14" t="n"/>
      <c r="I192" s="14" t="n"/>
      <c r="J192" s="15" t="n"/>
      <c r="K192" s="15">
        <f>IF(AND(ISNUMBER(I192),ISNUMBER(J192)),I192*J192,"")</f>
        <v/>
      </c>
      <c r="L192" s="15">
        <f>IF(AND(F192="",K192=""),"",N(F192)+IF(ISNUMBER(K192),K192,0))</f>
        <v/>
      </c>
      <c r="M192" s="14" t="n"/>
    </row>
    <row r="193">
      <c r="A193" s="13" t="n"/>
      <c r="B193" s="14" t="n"/>
      <c r="C193" s="14" t="n"/>
      <c r="D193" s="14" t="n"/>
      <c r="E193" s="14" t="n"/>
      <c r="F193" s="15" t="n"/>
      <c r="G193" s="14" t="n"/>
      <c r="H193" s="14" t="n"/>
      <c r="I193" s="14" t="n"/>
      <c r="J193" s="15" t="n"/>
      <c r="K193" s="15">
        <f>IF(AND(ISNUMBER(I193),ISNUMBER(J193)),I193*J193,"")</f>
        <v/>
      </c>
      <c r="L193" s="15">
        <f>IF(AND(F193="",K193=""),"",N(F193)+IF(ISNUMBER(K193),K193,0))</f>
        <v/>
      </c>
      <c r="M193" s="14" t="n"/>
    </row>
    <row r="194">
      <c r="A194" s="13" t="n"/>
      <c r="B194" s="14" t="n"/>
      <c r="C194" s="14" t="n"/>
      <c r="D194" s="14" t="n"/>
      <c r="E194" s="14" t="n"/>
      <c r="F194" s="15" t="n"/>
      <c r="G194" s="14" t="n"/>
      <c r="H194" s="14" t="n"/>
      <c r="I194" s="14" t="n"/>
      <c r="J194" s="15" t="n"/>
      <c r="K194" s="15">
        <f>IF(AND(ISNUMBER(I194),ISNUMBER(J194)),I194*J194,"")</f>
        <v/>
      </c>
      <c r="L194" s="15">
        <f>IF(AND(F194="",K194=""),"",N(F194)+IF(ISNUMBER(K194),K194,0))</f>
        <v/>
      </c>
      <c r="M194" s="14" t="n"/>
    </row>
    <row r="195">
      <c r="A195" s="13" t="n"/>
      <c r="B195" s="14" t="n"/>
      <c r="C195" s="14" t="n"/>
      <c r="D195" s="14" t="n"/>
      <c r="E195" s="14" t="n"/>
      <c r="F195" s="15" t="n"/>
      <c r="G195" s="14" t="n"/>
      <c r="H195" s="14" t="n"/>
      <c r="I195" s="14" t="n"/>
      <c r="J195" s="15" t="n"/>
      <c r="K195" s="15">
        <f>IF(AND(ISNUMBER(I195),ISNUMBER(J195)),I195*J195,"")</f>
        <v/>
      </c>
      <c r="L195" s="15">
        <f>IF(AND(F195="",K195=""),"",N(F195)+IF(ISNUMBER(K195),K195,0))</f>
        <v/>
      </c>
      <c r="M195" s="14" t="n"/>
    </row>
    <row r="196">
      <c r="A196" s="13" t="n"/>
      <c r="B196" s="14" t="n"/>
      <c r="C196" s="14" t="n"/>
      <c r="D196" s="14" t="n"/>
      <c r="E196" s="14" t="n"/>
      <c r="F196" s="15" t="n"/>
      <c r="G196" s="14" t="n"/>
      <c r="H196" s="14" t="n"/>
      <c r="I196" s="14" t="n"/>
      <c r="J196" s="15" t="n"/>
      <c r="K196" s="15">
        <f>IF(AND(ISNUMBER(I196),ISNUMBER(J196)),I196*J196,"")</f>
        <v/>
      </c>
      <c r="L196" s="15">
        <f>IF(AND(F196="",K196=""),"",N(F196)+IF(ISNUMBER(K196),K196,0))</f>
        <v/>
      </c>
      <c r="M196" s="14" t="n"/>
    </row>
    <row r="197">
      <c r="A197" s="13" t="n"/>
      <c r="B197" s="14" t="n"/>
      <c r="C197" s="14" t="n"/>
      <c r="D197" s="14" t="n"/>
      <c r="E197" s="14" t="n"/>
      <c r="F197" s="15" t="n"/>
      <c r="G197" s="14" t="n"/>
      <c r="H197" s="14" t="n"/>
      <c r="I197" s="14" t="n"/>
      <c r="J197" s="15" t="n"/>
      <c r="K197" s="15">
        <f>IF(AND(ISNUMBER(I197),ISNUMBER(J197)),I197*J197,"")</f>
        <v/>
      </c>
      <c r="L197" s="15">
        <f>IF(AND(F197="",K197=""),"",N(F197)+IF(ISNUMBER(K197),K197,0))</f>
        <v/>
      </c>
      <c r="M197" s="14" t="n"/>
    </row>
    <row r="198">
      <c r="A198" s="13" t="n"/>
      <c r="B198" s="14" t="n"/>
      <c r="C198" s="14" t="n"/>
      <c r="D198" s="14" t="n"/>
      <c r="E198" s="14" t="n"/>
      <c r="F198" s="15" t="n"/>
      <c r="G198" s="14" t="n"/>
      <c r="H198" s="14" t="n"/>
      <c r="I198" s="14" t="n"/>
      <c r="J198" s="15" t="n"/>
      <c r="K198" s="15">
        <f>IF(AND(ISNUMBER(I198),ISNUMBER(J198)),I198*J198,"")</f>
        <v/>
      </c>
      <c r="L198" s="15">
        <f>IF(AND(F198="",K198=""),"",N(F198)+IF(ISNUMBER(K198),K198,0))</f>
        <v/>
      </c>
      <c r="M198" s="14" t="n"/>
    </row>
    <row r="199">
      <c r="A199" s="13" t="n"/>
      <c r="B199" s="14" t="n"/>
      <c r="C199" s="14" t="n"/>
      <c r="D199" s="14" t="n"/>
      <c r="E199" s="14" t="n"/>
      <c r="F199" s="15" t="n"/>
      <c r="G199" s="14" t="n"/>
      <c r="H199" s="14" t="n"/>
      <c r="I199" s="14" t="n"/>
      <c r="J199" s="15" t="n"/>
      <c r="K199" s="15">
        <f>IF(AND(ISNUMBER(I199),ISNUMBER(J199)),I199*J199,"")</f>
        <v/>
      </c>
      <c r="L199" s="15">
        <f>IF(AND(F199="",K199=""),"",N(F199)+IF(ISNUMBER(K199),K199,0))</f>
        <v/>
      </c>
      <c r="M199" s="14" t="n"/>
    </row>
    <row r="200">
      <c r="A200" s="13" t="n"/>
      <c r="B200" s="14" t="n"/>
      <c r="C200" s="14" t="n"/>
      <c r="D200" s="14" t="n"/>
      <c r="E200" s="14" t="n"/>
      <c r="F200" s="15" t="n"/>
      <c r="G200" s="14" t="n"/>
      <c r="H200" s="14" t="n"/>
      <c r="I200" s="14" t="n"/>
      <c r="J200" s="15" t="n"/>
      <c r="K200" s="15">
        <f>IF(AND(ISNUMBER(I200),ISNUMBER(J200)),I200*J200,"")</f>
        <v/>
      </c>
      <c r="L200" s="15">
        <f>IF(AND(F200="",K200=""),"",N(F200)+IF(ISNUMBER(K200),K200,0))</f>
        <v/>
      </c>
      <c r="M200" s="14" t="n"/>
    </row>
    <row r="201">
      <c r="A201" s="13" t="n"/>
      <c r="B201" s="14" t="n"/>
      <c r="C201" s="14" t="n"/>
      <c r="D201" s="14" t="n"/>
      <c r="E201" s="14" t="n"/>
      <c r="F201" s="15" t="n"/>
      <c r="G201" s="14" t="n"/>
      <c r="H201" s="14" t="n"/>
      <c r="I201" s="14" t="n"/>
      <c r="J201" s="15" t="n"/>
      <c r="K201" s="15">
        <f>IF(AND(ISNUMBER(I201),ISNUMBER(J201)),I201*J201,"")</f>
        <v/>
      </c>
      <c r="L201" s="15">
        <f>IF(AND(F201="",K201=""),"",N(F201)+IF(ISNUMBER(K201),K201,0))</f>
        <v/>
      </c>
      <c r="M201" s="14" t="n"/>
    </row>
    <row r="202">
      <c r="A202" s="13" t="n"/>
      <c r="B202" s="14" t="n"/>
      <c r="C202" s="14" t="n"/>
      <c r="D202" s="14" t="n"/>
      <c r="E202" s="14" t="n"/>
      <c r="F202" s="15" t="n"/>
      <c r="G202" s="14" t="n"/>
      <c r="H202" s="14" t="n"/>
      <c r="I202" s="14" t="n"/>
      <c r="J202" s="15" t="n"/>
      <c r="K202" s="15">
        <f>IF(AND(ISNUMBER(I202),ISNUMBER(J202)),I202*J202,"")</f>
        <v/>
      </c>
      <c r="L202" s="15">
        <f>IF(AND(F202="",K202=""),"",N(F202)+IF(ISNUMBER(K202),K202,0))</f>
        <v/>
      </c>
      <c r="M202" s="14" t="n"/>
    </row>
    <row r="203">
      <c r="A203" s="13" t="n"/>
      <c r="B203" s="14" t="n"/>
      <c r="C203" s="14" t="n"/>
      <c r="D203" s="14" t="n"/>
      <c r="E203" s="14" t="n"/>
      <c r="F203" s="15" t="n"/>
      <c r="G203" s="14" t="n"/>
      <c r="H203" s="14" t="n"/>
      <c r="I203" s="14" t="n"/>
      <c r="J203" s="15" t="n"/>
      <c r="K203" s="15">
        <f>IF(AND(ISNUMBER(I203),ISNUMBER(J203)),I203*J203,"")</f>
        <v/>
      </c>
      <c r="L203" s="15">
        <f>IF(AND(F203="",K203=""),"",N(F203)+IF(ISNUMBER(K203),K203,0))</f>
        <v/>
      </c>
      <c r="M203" s="14" t="n"/>
    </row>
    <row r="204">
      <c r="A204" s="13" t="n"/>
      <c r="B204" s="14" t="n"/>
      <c r="C204" s="14" t="n"/>
      <c r="D204" s="14" t="n"/>
      <c r="E204" s="14" t="n"/>
      <c r="F204" s="15" t="n"/>
      <c r="G204" s="14" t="n"/>
      <c r="H204" s="14" t="n"/>
      <c r="I204" s="14" t="n"/>
      <c r="J204" s="15" t="n"/>
      <c r="K204" s="15">
        <f>IF(AND(ISNUMBER(I204),ISNUMBER(J204)),I204*J204,"")</f>
        <v/>
      </c>
      <c r="L204" s="15">
        <f>IF(AND(F204="",K204=""),"",N(F204)+IF(ISNUMBER(K204),K204,0))</f>
        <v/>
      </c>
      <c r="M204" s="14" t="n"/>
    </row>
    <row r="205">
      <c r="A205" s="13" t="n"/>
      <c r="B205" s="14" t="n"/>
      <c r="C205" s="14" t="n"/>
      <c r="D205" s="14" t="n"/>
      <c r="E205" s="14" t="n"/>
      <c r="F205" s="15" t="n"/>
      <c r="G205" s="14" t="n"/>
      <c r="H205" s="14" t="n"/>
      <c r="I205" s="14" t="n"/>
      <c r="J205" s="15" t="n"/>
      <c r="K205" s="15">
        <f>IF(AND(ISNUMBER(I205),ISNUMBER(J205)),I205*J205,"")</f>
        <v/>
      </c>
      <c r="L205" s="15">
        <f>IF(AND(F205="",K205=""),"",N(F205)+IF(ISNUMBER(K205),K205,0))</f>
        <v/>
      </c>
      <c r="M205" s="14" t="n"/>
    </row>
    <row r="206">
      <c r="A206" s="13" t="n"/>
      <c r="B206" s="14" t="n"/>
      <c r="C206" s="14" t="n"/>
      <c r="D206" s="14" t="n"/>
      <c r="E206" s="14" t="n"/>
      <c r="F206" s="15" t="n"/>
      <c r="G206" s="14" t="n"/>
      <c r="H206" s="14" t="n"/>
      <c r="I206" s="14" t="n"/>
      <c r="J206" s="15" t="n"/>
      <c r="K206" s="15">
        <f>IF(AND(ISNUMBER(I206),ISNUMBER(J206)),I206*J206,"")</f>
        <v/>
      </c>
      <c r="L206" s="15">
        <f>IF(AND(F206="",K206=""),"",N(F206)+IF(ISNUMBER(K206),K206,0))</f>
        <v/>
      </c>
      <c r="M206" s="14" t="n"/>
    </row>
    <row r="207">
      <c r="A207" s="13" t="n"/>
      <c r="B207" s="14" t="n"/>
      <c r="C207" s="14" t="n"/>
      <c r="D207" s="14" t="n"/>
      <c r="E207" s="14" t="n"/>
      <c r="F207" s="15" t="n"/>
      <c r="G207" s="14" t="n"/>
      <c r="H207" s="14" t="n"/>
      <c r="I207" s="14" t="n"/>
      <c r="J207" s="15" t="n"/>
      <c r="K207" s="15">
        <f>IF(AND(ISNUMBER(I207),ISNUMBER(J207)),I207*J207,"")</f>
        <v/>
      </c>
      <c r="L207" s="15">
        <f>IF(AND(F207="",K207=""),"",N(F207)+IF(ISNUMBER(K207),K207,0))</f>
        <v/>
      </c>
      <c r="M207" s="14" t="n"/>
    </row>
    <row r="208">
      <c r="A208" s="13" t="n"/>
      <c r="B208" s="14" t="n"/>
      <c r="C208" s="14" t="n"/>
      <c r="D208" s="14" t="n"/>
      <c r="E208" s="14" t="n"/>
      <c r="F208" s="15" t="n"/>
      <c r="G208" s="14" t="n"/>
      <c r="H208" s="14" t="n"/>
      <c r="I208" s="14" t="n"/>
      <c r="J208" s="15" t="n"/>
      <c r="K208" s="15">
        <f>IF(AND(ISNUMBER(I208),ISNUMBER(J208)),I208*J208,"")</f>
        <v/>
      </c>
      <c r="L208" s="15">
        <f>IF(AND(F208="",K208=""),"",N(F208)+IF(ISNUMBER(K208),K208,0))</f>
        <v/>
      </c>
      <c r="M208" s="14" t="n"/>
    </row>
    <row r="209">
      <c r="A209" s="13" t="n"/>
      <c r="B209" s="14" t="n"/>
      <c r="C209" s="14" t="n"/>
      <c r="D209" s="14" t="n"/>
      <c r="E209" s="14" t="n"/>
      <c r="F209" s="15" t="n"/>
      <c r="G209" s="14" t="n"/>
      <c r="H209" s="14" t="n"/>
      <c r="I209" s="14" t="n"/>
      <c r="J209" s="15" t="n"/>
      <c r="K209" s="15">
        <f>IF(AND(ISNUMBER(I209),ISNUMBER(J209)),I209*J209,"")</f>
        <v/>
      </c>
      <c r="L209" s="15">
        <f>IF(AND(F209="",K209=""),"",N(F209)+IF(ISNUMBER(K209),K209,0))</f>
        <v/>
      </c>
      <c r="M209" s="14" t="n"/>
    </row>
    <row r="210">
      <c r="A210" s="13" t="n"/>
      <c r="B210" s="14" t="n"/>
      <c r="C210" s="14" t="n"/>
      <c r="D210" s="14" t="n"/>
      <c r="E210" s="14" t="n"/>
      <c r="F210" s="15" t="n"/>
      <c r="G210" s="14" t="n"/>
      <c r="H210" s="14" t="n"/>
      <c r="I210" s="14" t="n"/>
      <c r="J210" s="15" t="n"/>
      <c r="K210" s="15">
        <f>IF(AND(ISNUMBER(I210),ISNUMBER(J210)),I210*J210,"")</f>
        <v/>
      </c>
      <c r="L210" s="15">
        <f>IF(AND(F210="",K210=""),"",N(F210)+IF(ISNUMBER(K210),K210,0))</f>
        <v/>
      </c>
      <c r="M210" s="14" t="n"/>
    </row>
    <row r="211">
      <c r="A211" s="13" t="n"/>
      <c r="B211" s="14" t="n"/>
      <c r="C211" s="14" t="n"/>
      <c r="D211" s="14" t="n"/>
      <c r="E211" s="14" t="n"/>
      <c r="F211" s="15" t="n"/>
      <c r="G211" s="14" t="n"/>
      <c r="H211" s="14" t="n"/>
      <c r="I211" s="14" t="n"/>
      <c r="J211" s="15" t="n"/>
      <c r="K211" s="15">
        <f>IF(AND(ISNUMBER(I211),ISNUMBER(J211)),I211*J211,"")</f>
        <v/>
      </c>
      <c r="L211" s="15">
        <f>IF(AND(F211="",K211=""),"",N(F211)+IF(ISNUMBER(K211),K211,0))</f>
        <v/>
      </c>
      <c r="M211" s="14" t="n"/>
    </row>
    <row r="212">
      <c r="A212" s="13" t="n"/>
      <c r="B212" s="14" t="n"/>
      <c r="C212" s="14" t="n"/>
      <c r="D212" s="14" t="n"/>
      <c r="E212" s="14" t="n"/>
      <c r="F212" s="15" t="n"/>
      <c r="G212" s="14" t="n"/>
      <c r="H212" s="14" t="n"/>
      <c r="I212" s="14" t="n"/>
      <c r="J212" s="15" t="n"/>
      <c r="K212" s="15">
        <f>IF(AND(ISNUMBER(I212),ISNUMBER(J212)),I212*J212,"")</f>
        <v/>
      </c>
      <c r="L212" s="15">
        <f>IF(AND(F212="",K212=""),"",N(F212)+IF(ISNUMBER(K212),K212,0))</f>
        <v/>
      </c>
      <c r="M212" s="14" t="n"/>
    </row>
    <row r="213">
      <c r="A213" s="13" t="n"/>
      <c r="B213" s="14" t="n"/>
      <c r="C213" s="14" t="n"/>
      <c r="D213" s="14" t="n"/>
      <c r="E213" s="14" t="n"/>
      <c r="F213" s="15" t="n"/>
      <c r="G213" s="14" t="n"/>
      <c r="H213" s="14" t="n"/>
      <c r="I213" s="14" t="n"/>
      <c r="J213" s="15" t="n"/>
      <c r="K213" s="15">
        <f>IF(AND(ISNUMBER(I213),ISNUMBER(J213)),I213*J213,"")</f>
        <v/>
      </c>
      <c r="L213" s="15">
        <f>IF(AND(F213="",K213=""),"",N(F213)+IF(ISNUMBER(K213),K213,0))</f>
        <v/>
      </c>
      <c r="M213" s="14" t="n"/>
    </row>
    <row r="214">
      <c r="A214" s="13" t="n"/>
      <c r="B214" s="14" t="n"/>
      <c r="C214" s="14" t="n"/>
      <c r="D214" s="14" t="n"/>
      <c r="E214" s="14" t="n"/>
      <c r="F214" s="15" t="n"/>
      <c r="G214" s="14" t="n"/>
      <c r="H214" s="14" t="n"/>
      <c r="I214" s="14" t="n"/>
      <c r="J214" s="15" t="n"/>
      <c r="K214" s="15">
        <f>IF(AND(ISNUMBER(I214),ISNUMBER(J214)),I214*J214,"")</f>
        <v/>
      </c>
      <c r="L214" s="15">
        <f>IF(AND(F214="",K214=""),"",N(F214)+IF(ISNUMBER(K214),K214,0))</f>
        <v/>
      </c>
      <c r="M214" s="14" t="n"/>
    </row>
    <row r="215">
      <c r="A215" s="13" t="n"/>
      <c r="B215" s="14" t="n"/>
      <c r="C215" s="14" t="n"/>
      <c r="D215" s="14" t="n"/>
      <c r="E215" s="14" t="n"/>
      <c r="F215" s="15" t="n"/>
      <c r="G215" s="14" t="n"/>
      <c r="H215" s="14" t="n"/>
      <c r="I215" s="14" t="n"/>
      <c r="J215" s="15" t="n"/>
      <c r="K215" s="15">
        <f>IF(AND(ISNUMBER(I215),ISNUMBER(J215)),I215*J215,"")</f>
        <v/>
      </c>
      <c r="L215" s="15">
        <f>IF(AND(F215="",K215=""),"",N(F215)+IF(ISNUMBER(K215),K215,0))</f>
        <v/>
      </c>
      <c r="M215" s="14" t="n"/>
    </row>
    <row r="216">
      <c r="A216" s="13" t="n"/>
      <c r="B216" s="14" t="n"/>
      <c r="C216" s="14" t="n"/>
      <c r="D216" s="14" t="n"/>
      <c r="E216" s="14" t="n"/>
      <c r="F216" s="15" t="n"/>
      <c r="G216" s="14" t="n"/>
      <c r="H216" s="14" t="n"/>
      <c r="I216" s="14" t="n"/>
      <c r="J216" s="15" t="n"/>
      <c r="K216" s="15">
        <f>IF(AND(ISNUMBER(I216),ISNUMBER(J216)),I216*J216,"")</f>
        <v/>
      </c>
      <c r="L216" s="15">
        <f>IF(AND(F216="",K216=""),"",N(F216)+IF(ISNUMBER(K216),K216,0))</f>
        <v/>
      </c>
      <c r="M216" s="14" t="n"/>
    </row>
    <row r="217">
      <c r="A217" s="13" t="n"/>
      <c r="B217" s="14" t="n"/>
      <c r="C217" s="14" t="n"/>
      <c r="D217" s="14" t="n"/>
      <c r="E217" s="14" t="n"/>
      <c r="F217" s="15" t="n"/>
      <c r="G217" s="14" t="n"/>
      <c r="H217" s="14" t="n"/>
      <c r="I217" s="14" t="n"/>
      <c r="J217" s="15" t="n"/>
      <c r="K217" s="15">
        <f>IF(AND(ISNUMBER(I217),ISNUMBER(J217)),I217*J217,"")</f>
        <v/>
      </c>
      <c r="L217" s="15">
        <f>IF(AND(F217="",K217=""),"",N(F217)+IF(ISNUMBER(K217),K217,0))</f>
        <v/>
      </c>
      <c r="M217" s="14" t="n"/>
    </row>
    <row r="218">
      <c r="A218" s="13" t="n"/>
      <c r="B218" s="14" t="n"/>
      <c r="C218" s="14" t="n"/>
      <c r="D218" s="14" t="n"/>
      <c r="E218" s="14" t="n"/>
      <c r="F218" s="15" t="n"/>
      <c r="G218" s="14" t="n"/>
      <c r="H218" s="14" t="n"/>
      <c r="I218" s="14" t="n"/>
      <c r="J218" s="15" t="n"/>
      <c r="K218" s="15">
        <f>IF(AND(ISNUMBER(I218),ISNUMBER(J218)),I218*J218,"")</f>
        <v/>
      </c>
      <c r="L218" s="15">
        <f>IF(AND(F218="",K218=""),"",N(F218)+IF(ISNUMBER(K218),K218,0))</f>
        <v/>
      </c>
      <c r="M218" s="14" t="n"/>
    </row>
    <row r="219">
      <c r="A219" s="13" t="n"/>
      <c r="B219" s="14" t="n"/>
      <c r="C219" s="14" t="n"/>
      <c r="D219" s="14" t="n"/>
      <c r="E219" s="14" t="n"/>
      <c r="F219" s="15" t="n"/>
      <c r="G219" s="14" t="n"/>
      <c r="H219" s="14" t="n"/>
      <c r="I219" s="14" t="n"/>
      <c r="J219" s="15" t="n"/>
      <c r="K219" s="15">
        <f>IF(AND(ISNUMBER(I219),ISNUMBER(J219)),I219*J219,"")</f>
        <v/>
      </c>
      <c r="L219" s="15">
        <f>IF(AND(F219="",K219=""),"",N(F219)+IF(ISNUMBER(K219),K219,0))</f>
        <v/>
      </c>
      <c r="M219" s="14" t="n"/>
    </row>
    <row r="220">
      <c r="A220" s="13" t="n"/>
      <c r="B220" s="14" t="n"/>
      <c r="C220" s="14" t="n"/>
      <c r="D220" s="14" t="n"/>
      <c r="E220" s="14" t="n"/>
      <c r="F220" s="15" t="n"/>
      <c r="G220" s="14" t="n"/>
      <c r="H220" s="14" t="n"/>
      <c r="I220" s="14" t="n"/>
      <c r="J220" s="15" t="n"/>
      <c r="K220" s="15">
        <f>IF(AND(ISNUMBER(I220),ISNUMBER(J220)),I220*J220,"")</f>
        <v/>
      </c>
      <c r="L220" s="15">
        <f>IF(AND(F220="",K220=""),"",N(F220)+IF(ISNUMBER(K220),K220,0))</f>
        <v/>
      </c>
      <c r="M220" s="14" t="n"/>
    </row>
    <row r="221">
      <c r="A221" s="13" t="n"/>
      <c r="B221" s="14" t="n"/>
      <c r="C221" s="14" t="n"/>
      <c r="D221" s="14" t="n"/>
      <c r="E221" s="14" t="n"/>
      <c r="F221" s="15" t="n"/>
      <c r="G221" s="14" t="n"/>
      <c r="H221" s="14" t="n"/>
      <c r="I221" s="14" t="n"/>
      <c r="J221" s="15" t="n"/>
      <c r="K221" s="15">
        <f>IF(AND(ISNUMBER(I221),ISNUMBER(J221)),I221*J221,"")</f>
        <v/>
      </c>
      <c r="L221" s="15">
        <f>IF(AND(F221="",K221=""),"",N(F221)+IF(ISNUMBER(K221),K221,0))</f>
        <v/>
      </c>
      <c r="M221" s="14" t="n"/>
    </row>
    <row r="222">
      <c r="A222" s="13" t="n"/>
      <c r="B222" s="14" t="n"/>
      <c r="C222" s="14" t="n"/>
      <c r="D222" s="14" t="n"/>
      <c r="E222" s="14" t="n"/>
      <c r="F222" s="15" t="n"/>
      <c r="G222" s="14" t="n"/>
      <c r="H222" s="14" t="n"/>
      <c r="I222" s="14" t="n"/>
      <c r="J222" s="15" t="n"/>
      <c r="K222" s="15">
        <f>IF(AND(ISNUMBER(I222),ISNUMBER(J222)),I222*J222,"")</f>
        <v/>
      </c>
      <c r="L222" s="15">
        <f>IF(AND(F222="",K222=""),"",N(F222)+IF(ISNUMBER(K222),K222,0))</f>
        <v/>
      </c>
      <c r="M222" s="14" t="n"/>
    </row>
    <row r="223">
      <c r="A223" s="13" t="n"/>
      <c r="B223" s="14" t="n"/>
      <c r="C223" s="14" t="n"/>
      <c r="D223" s="14" t="n"/>
      <c r="E223" s="14" t="n"/>
      <c r="F223" s="15" t="n"/>
      <c r="G223" s="14" t="n"/>
      <c r="H223" s="14" t="n"/>
      <c r="I223" s="14" t="n"/>
      <c r="J223" s="15" t="n"/>
      <c r="K223" s="15">
        <f>IF(AND(ISNUMBER(I223),ISNUMBER(J223)),I223*J223,"")</f>
        <v/>
      </c>
      <c r="L223" s="15">
        <f>IF(AND(F223="",K223=""),"",N(F223)+IF(ISNUMBER(K223),K223,0))</f>
        <v/>
      </c>
      <c r="M223" s="14" t="n"/>
    </row>
    <row r="224">
      <c r="A224" s="13" t="n"/>
      <c r="B224" s="14" t="n"/>
      <c r="C224" s="14" t="n"/>
      <c r="D224" s="14" t="n"/>
      <c r="E224" s="14" t="n"/>
      <c r="F224" s="15" t="n"/>
      <c r="G224" s="14" t="n"/>
      <c r="H224" s="14" t="n"/>
      <c r="I224" s="14" t="n"/>
      <c r="J224" s="15" t="n"/>
      <c r="K224" s="15">
        <f>IF(AND(ISNUMBER(I224),ISNUMBER(J224)),I224*J224,"")</f>
        <v/>
      </c>
      <c r="L224" s="15">
        <f>IF(AND(F224="",K224=""),"",N(F224)+IF(ISNUMBER(K224),K224,0))</f>
        <v/>
      </c>
      <c r="M224" s="14" t="n"/>
    </row>
    <row r="225">
      <c r="A225" s="13" t="n"/>
      <c r="B225" s="14" t="n"/>
      <c r="C225" s="14" t="n"/>
      <c r="D225" s="14" t="n"/>
      <c r="E225" s="14" t="n"/>
      <c r="F225" s="15" t="n"/>
      <c r="G225" s="14" t="n"/>
      <c r="H225" s="14" t="n"/>
      <c r="I225" s="14" t="n"/>
      <c r="J225" s="15" t="n"/>
      <c r="K225" s="15">
        <f>IF(AND(ISNUMBER(I225),ISNUMBER(J225)),I225*J225,"")</f>
        <v/>
      </c>
      <c r="L225" s="15">
        <f>IF(AND(F225="",K225=""),"",N(F225)+IF(ISNUMBER(K225),K225,0))</f>
        <v/>
      </c>
      <c r="M225" s="14" t="n"/>
    </row>
    <row r="226">
      <c r="A226" s="13" t="n"/>
      <c r="B226" s="14" t="n"/>
      <c r="C226" s="14" t="n"/>
      <c r="D226" s="14" t="n"/>
      <c r="E226" s="14" t="n"/>
      <c r="F226" s="15" t="n"/>
      <c r="G226" s="14" t="n"/>
      <c r="H226" s="14" t="n"/>
      <c r="I226" s="14" t="n"/>
      <c r="J226" s="15" t="n"/>
      <c r="K226" s="15">
        <f>IF(AND(ISNUMBER(I226),ISNUMBER(J226)),I226*J226,"")</f>
        <v/>
      </c>
      <c r="L226" s="15">
        <f>IF(AND(F226="",K226=""),"",N(F226)+IF(ISNUMBER(K226),K226,0))</f>
        <v/>
      </c>
      <c r="M226" s="14" t="n"/>
    </row>
    <row r="227">
      <c r="A227" s="13" t="n"/>
      <c r="B227" s="14" t="n"/>
      <c r="C227" s="14" t="n"/>
      <c r="D227" s="14" t="n"/>
      <c r="E227" s="14" t="n"/>
      <c r="F227" s="15" t="n"/>
      <c r="G227" s="14" t="n"/>
      <c r="H227" s="14" t="n"/>
      <c r="I227" s="14" t="n"/>
      <c r="J227" s="15" t="n"/>
      <c r="K227" s="15">
        <f>IF(AND(ISNUMBER(I227),ISNUMBER(J227)),I227*J227,"")</f>
        <v/>
      </c>
      <c r="L227" s="15">
        <f>IF(AND(F227="",K227=""),"",N(F227)+IF(ISNUMBER(K227),K227,0))</f>
        <v/>
      </c>
      <c r="M227" s="14" t="n"/>
    </row>
    <row r="228">
      <c r="A228" s="13" t="n"/>
      <c r="B228" s="14" t="n"/>
      <c r="C228" s="14" t="n"/>
      <c r="D228" s="14" t="n"/>
      <c r="E228" s="14" t="n"/>
      <c r="F228" s="15" t="n"/>
      <c r="G228" s="14" t="n"/>
      <c r="H228" s="14" t="n"/>
      <c r="I228" s="14" t="n"/>
      <c r="J228" s="15" t="n"/>
      <c r="K228" s="15">
        <f>IF(AND(ISNUMBER(I228),ISNUMBER(J228)),I228*J228,"")</f>
        <v/>
      </c>
      <c r="L228" s="15">
        <f>IF(AND(F228="",K228=""),"",N(F228)+IF(ISNUMBER(K228),K228,0))</f>
        <v/>
      </c>
      <c r="M228" s="14" t="n"/>
    </row>
    <row r="229">
      <c r="A229" s="13" t="n"/>
      <c r="B229" s="14" t="n"/>
      <c r="C229" s="14" t="n"/>
      <c r="D229" s="14" t="n"/>
      <c r="E229" s="14" t="n"/>
      <c r="F229" s="15" t="n"/>
      <c r="G229" s="14" t="n"/>
      <c r="H229" s="14" t="n"/>
      <c r="I229" s="14" t="n"/>
      <c r="J229" s="15" t="n"/>
      <c r="K229" s="15">
        <f>IF(AND(ISNUMBER(I229),ISNUMBER(J229)),I229*J229,"")</f>
        <v/>
      </c>
      <c r="L229" s="15">
        <f>IF(AND(F229="",K229=""),"",N(F229)+IF(ISNUMBER(K229),K229,0))</f>
        <v/>
      </c>
      <c r="M229" s="14" t="n"/>
    </row>
    <row r="230">
      <c r="A230" s="13" t="n"/>
      <c r="B230" s="14" t="n"/>
      <c r="C230" s="14" t="n"/>
      <c r="D230" s="14" t="n"/>
      <c r="E230" s="14" t="n"/>
      <c r="F230" s="15" t="n"/>
      <c r="G230" s="14" t="n"/>
      <c r="H230" s="14" t="n"/>
      <c r="I230" s="14" t="n"/>
      <c r="J230" s="15" t="n"/>
      <c r="K230" s="15">
        <f>IF(AND(ISNUMBER(I230),ISNUMBER(J230)),I230*J230,"")</f>
        <v/>
      </c>
      <c r="L230" s="15">
        <f>IF(AND(F230="",K230=""),"",N(F230)+IF(ISNUMBER(K230),K230,0))</f>
        <v/>
      </c>
      <c r="M230" s="14" t="n"/>
    </row>
    <row r="231">
      <c r="A231" s="13" t="n"/>
      <c r="B231" s="14" t="n"/>
      <c r="C231" s="14" t="n"/>
      <c r="D231" s="14" t="n"/>
      <c r="E231" s="14" t="n"/>
      <c r="F231" s="15" t="n"/>
      <c r="G231" s="14" t="n"/>
      <c r="H231" s="14" t="n"/>
      <c r="I231" s="14" t="n"/>
      <c r="J231" s="15" t="n"/>
      <c r="K231" s="15">
        <f>IF(AND(ISNUMBER(I231),ISNUMBER(J231)),I231*J231,"")</f>
        <v/>
      </c>
      <c r="L231" s="15">
        <f>IF(AND(F231="",K231=""),"",N(F231)+IF(ISNUMBER(K231),K231,0))</f>
        <v/>
      </c>
      <c r="M231" s="14" t="n"/>
    </row>
    <row r="232">
      <c r="A232" s="13" t="n"/>
      <c r="B232" s="14" t="n"/>
      <c r="C232" s="14" t="n"/>
      <c r="D232" s="14" t="n"/>
      <c r="E232" s="14" t="n"/>
      <c r="F232" s="15" t="n"/>
      <c r="G232" s="14" t="n"/>
      <c r="H232" s="14" t="n"/>
      <c r="I232" s="14" t="n"/>
      <c r="J232" s="15" t="n"/>
      <c r="K232" s="15">
        <f>IF(AND(ISNUMBER(I232),ISNUMBER(J232)),I232*J232,"")</f>
        <v/>
      </c>
      <c r="L232" s="15">
        <f>IF(AND(F232="",K232=""),"",N(F232)+IF(ISNUMBER(K232),K232,0))</f>
        <v/>
      </c>
      <c r="M232" s="14" t="n"/>
    </row>
    <row r="233">
      <c r="A233" s="13" t="n"/>
      <c r="B233" s="14" t="n"/>
      <c r="C233" s="14" t="n"/>
      <c r="D233" s="14" t="n"/>
      <c r="E233" s="14" t="n"/>
      <c r="F233" s="15" t="n"/>
      <c r="G233" s="14" t="n"/>
      <c r="H233" s="14" t="n"/>
      <c r="I233" s="14" t="n"/>
      <c r="J233" s="15" t="n"/>
      <c r="K233" s="15">
        <f>IF(AND(ISNUMBER(I233),ISNUMBER(J233)),I233*J233,"")</f>
        <v/>
      </c>
      <c r="L233" s="15">
        <f>IF(AND(F233="",K233=""),"",N(F233)+IF(ISNUMBER(K233),K233,0))</f>
        <v/>
      </c>
      <c r="M233" s="14" t="n"/>
    </row>
    <row r="234">
      <c r="A234" s="13" t="n"/>
      <c r="B234" s="14" t="n"/>
      <c r="C234" s="14" t="n"/>
      <c r="D234" s="14" t="n"/>
      <c r="E234" s="14" t="n"/>
      <c r="F234" s="15" t="n"/>
      <c r="G234" s="14" t="n"/>
      <c r="H234" s="14" t="n"/>
      <c r="I234" s="14" t="n"/>
      <c r="J234" s="15" t="n"/>
      <c r="K234" s="15">
        <f>IF(AND(ISNUMBER(I234),ISNUMBER(J234)),I234*J234,"")</f>
        <v/>
      </c>
      <c r="L234" s="15">
        <f>IF(AND(F234="",K234=""),"",N(F234)+IF(ISNUMBER(K234),K234,0))</f>
        <v/>
      </c>
      <c r="M234" s="14" t="n"/>
    </row>
    <row r="235">
      <c r="A235" s="13" t="n"/>
      <c r="B235" s="14" t="n"/>
      <c r="C235" s="14" t="n"/>
      <c r="D235" s="14" t="n"/>
      <c r="E235" s="14" t="n"/>
      <c r="F235" s="15" t="n"/>
      <c r="G235" s="14" t="n"/>
      <c r="H235" s="14" t="n"/>
      <c r="I235" s="14" t="n"/>
      <c r="J235" s="15" t="n"/>
      <c r="K235" s="15">
        <f>IF(AND(ISNUMBER(I235),ISNUMBER(J235)),I235*J235,"")</f>
        <v/>
      </c>
      <c r="L235" s="15">
        <f>IF(AND(F235="",K235=""),"",N(F235)+IF(ISNUMBER(K235),K235,0))</f>
        <v/>
      </c>
      <c r="M235" s="14" t="n"/>
    </row>
    <row r="236">
      <c r="A236" s="13" t="n"/>
      <c r="B236" s="14" t="n"/>
      <c r="C236" s="14" t="n"/>
      <c r="D236" s="14" t="n"/>
      <c r="E236" s="14" t="n"/>
      <c r="F236" s="15" t="n"/>
      <c r="G236" s="14" t="n"/>
      <c r="H236" s="14" t="n"/>
      <c r="I236" s="14" t="n"/>
      <c r="J236" s="15" t="n"/>
      <c r="K236" s="15">
        <f>IF(AND(ISNUMBER(I236),ISNUMBER(J236)),I236*J236,"")</f>
        <v/>
      </c>
      <c r="L236" s="15">
        <f>IF(AND(F236="",K236=""),"",N(F236)+IF(ISNUMBER(K236),K236,0))</f>
        <v/>
      </c>
      <c r="M236" s="14" t="n"/>
    </row>
    <row r="237">
      <c r="A237" s="13" t="n"/>
      <c r="B237" s="14" t="n"/>
      <c r="C237" s="14" t="n"/>
      <c r="D237" s="14" t="n"/>
      <c r="E237" s="14" t="n"/>
      <c r="F237" s="15" t="n"/>
      <c r="G237" s="14" t="n"/>
      <c r="H237" s="14" t="n"/>
      <c r="I237" s="14" t="n"/>
      <c r="J237" s="15" t="n"/>
      <c r="K237" s="15">
        <f>IF(AND(ISNUMBER(I237),ISNUMBER(J237)),I237*J237,"")</f>
        <v/>
      </c>
      <c r="L237" s="15">
        <f>IF(AND(F237="",K237=""),"",N(F237)+IF(ISNUMBER(K237),K237,0))</f>
        <v/>
      </c>
      <c r="M237" s="14" t="n"/>
    </row>
    <row r="238">
      <c r="A238" s="13" t="n"/>
      <c r="B238" s="14" t="n"/>
      <c r="C238" s="14" t="n"/>
      <c r="D238" s="14" t="n"/>
      <c r="E238" s="14" t="n"/>
      <c r="F238" s="15" t="n"/>
      <c r="G238" s="14" t="n"/>
      <c r="H238" s="14" t="n"/>
      <c r="I238" s="14" t="n"/>
      <c r="J238" s="15" t="n"/>
      <c r="K238" s="15">
        <f>IF(AND(ISNUMBER(I238),ISNUMBER(J238)),I238*J238,"")</f>
        <v/>
      </c>
      <c r="L238" s="15">
        <f>IF(AND(F238="",K238=""),"",N(F238)+IF(ISNUMBER(K238),K238,0))</f>
        <v/>
      </c>
      <c r="M238" s="14" t="n"/>
    </row>
    <row r="239">
      <c r="A239" s="13" t="n"/>
      <c r="B239" s="14" t="n"/>
      <c r="C239" s="14" t="n"/>
      <c r="D239" s="14" t="n"/>
      <c r="E239" s="14" t="n"/>
      <c r="F239" s="15" t="n"/>
      <c r="G239" s="14" t="n"/>
      <c r="H239" s="14" t="n"/>
      <c r="I239" s="14" t="n"/>
      <c r="J239" s="15" t="n"/>
      <c r="K239" s="15">
        <f>IF(AND(ISNUMBER(I239),ISNUMBER(J239)),I239*J239,"")</f>
        <v/>
      </c>
      <c r="L239" s="15">
        <f>IF(AND(F239="",K239=""),"",N(F239)+IF(ISNUMBER(K239),K239,0))</f>
        <v/>
      </c>
      <c r="M239" s="14" t="n"/>
    </row>
    <row r="240">
      <c r="A240" s="13" t="n"/>
      <c r="B240" s="14" t="n"/>
      <c r="C240" s="14" t="n"/>
      <c r="D240" s="14" t="n"/>
      <c r="E240" s="14" t="n"/>
      <c r="F240" s="15" t="n"/>
      <c r="G240" s="14" t="n"/>
      <c r="H240" s="14" t="n"/>
      <c r="I240" s="14" t="n"/>
      <c r="J240" s="15" t="n"/>
      <c r="K240" s="15">
        <f>IF(AND(ISNUMBER(I240),ISNUMBER(J240)),I240*J240,"")</f>
        <v/>
      </c>
      <c r="L240" s="15">
        <f>IF(AND(F240="",K240=""),"",N(F240)+IF(ISNUMBER(K240),K240,0))</f>
        <v/>
      </c>
      <c r="M240" s="14" t="n"/>
    </row>
    <row r="241">
      <c r="A241" s="13" t="n"/>
      <c r="B241" s="14" t="n"/>
      <c r="C241" s="14" t="n"/>
      <c r="D241" s="14" t="n"/>
      <c r="E241" s="14" t="n"/>
      <c r="F241" s="15" t="n"/>
      <c r="G241" s="14" t="n"/>
      <c r="H241" s="14" t="n"/>
      <c r="I241" s="14" t="n"/>
      <c r="J241" s="15" t="n"/>
      <c r="K241" s="15">
        <f>IF(AND(ISNUMBER(I241),ISNUMBER(J241)),I241*J241,"")</f>
        <v/>
      </c>
      <c r="L241" s="15">
        <f>IF(AND(F241="",K241=""),"",N(F241)+IF(ISNUMBER(K241),K241,0))</f>
        <v/>
      </c>
      <c r="M241" s="14" t="n"/>
    </row>
    <row r="242">
      <c r="A242" s="13" t="n"/>
      <c r="B242" s="14" t="n"/>
      <c r="C242" s="14" t="n"/>
      <c r="D242" s="14" t="n"/>
      <c r="E242" s="14" t="n"/>
      <c r="F242" s="15" t="n"/>
      <c r="G242" s="14" t="n"/>
      <c r="H242" s="14" t="n"/>
      <c r="I242" s="14" t="n"/>
      <c r="J242" s="15" t="n"/>
      <c r="K242" s="15">
        <f>IF(AND(ISNUMBER(I242),ISNUMBER(J242)),I242*J242,"")</f>
        <v/>
      </c>
      <c r="L242" s="15">
        <f>IF(AND(F242="",K242=""),"",N(F242)+IF(ISNUMBER(K242),K242,0))</f>
        <v/>
      </c>
      <c r="M242" s="14" t="n"/>
    </row>
    <row r="243">
      <c r="A243" s="13" t="n"/>
      <c r="B243" s="14" t="n"/>
      <c r="C243" s="14" t="n"/>
      <c r="D243" s="14" t="n"/>
      <c r="E243" s="14" t="n"/>
      <c r="F243" s="15" t="n"/>
      <c r="G243" s="14" t="n"/>
      <c r="H243" s="14" t="n"/>
      <c r="I243" s="14" t="n"/>
      <c r="J243" s="15" t="n"/>
      <c r="K243" s="15">
        <f>IF(AND(ISNUMBER(I243),ISNUMBER(J243)),I243*J243,"")</f>
        <v/>
      </c>
      <c r="L243" s="15">
        <f>IF(AND(F243="",K243=""),"",N(F243)+IF(ISNUMBER(K243),K243,0))</f>
        <v/>
      </c>
      <c r="M243" s="14" t="n"/>
    </row>
    <row r="244">
      <c r="A244" s="13" t="n"/>
      <c r="B244" s="14" t="n"/>
      <c r="C244" s="14" t="n"/>
      <c r="D244" s="14" t="n"/>
      <c r="E244" s="14" t="n"/>
      <c r="F244" s="15" t="n"/>
      <c r="G244" s="14" t="n"/>
      <c r="H244" s="14" t="n"/>
      <c r="I244" s="14" t="n"/>
      <c r="J244" s="15" t="n"/>
      <c r="K244" s="15">
        <f>IF(AND(ISNUMBER(I244),ISNUMBER(J244)),I244*J244,"")</f>
        <v/>
      </c>
      <c r="L244" s="15">
        <f>IF(AND(F244="",K244=""),"",N(F244)+IF(ISNUMBER(K244),K244,0))</f>
        <v/>
      </c>
      <c r="M244" s="14" t="n"/>
    </row>
    <row r="245">
      <c r="A245" s="13" t="n"/>
      <c r="B245" s="14" t="n"/>
      <c r="C245" s="14" t="n"/>
      <c r="D245" s="14" t="n"/>
      <c r="E245" s="14" t="n"/>
      <c r="F245" s="15" t="n"/>
      <c r="G245" s="14" t="n"/>
      <c r="H245" s="14" t="n"/>
      <c r="I245" s="14" t="n"/>
      <c r="J245" s="15" t="n"/>
      <c r="K245" s="15">
        <f>IF(AND(ISNUMBER(I245),ISNUMBER(J245)),I245*J245,"")</f>
        <v/>
      </c>
      <c r="L245" s="15">
        <f>IF(AND(F245="",K245=""),"",N(F245)+IF(ISNUMBER(K245),K245,0))</f>
        <v/>
      </c>
      <c r="M245" s="14" t="n"/>
    </row>
    <row r="246">
      <c r="A246" s="13" t="n"/>
      <c r="B246" s="14" t="n"/>
      <c r="C246" s="14" t="n"/>
      <c r="D246" s="14" t="n"/>
      <c r="E246" s="14" t="n"/>
      <c r="F246" s="15" t="n"/>
      <c r="G246" s="14" t="n"/>
      <c r="H246" s="14" t="n"/>
      <c r="I246" s="14" t="n"/>
      <c r="J246" s="15" t="n"/>
      <c r="K246" s="15">
        <f>IF(AND(ISNUMBER(I246),ISNUMBER(J246)),I246*J246,"")</f>
        <v/>
      </c>
      <c r="L246" s="15">
        <f>IF(AND(F246="",K246=""),"",N(F246)+IF(ISNUMBER(K246),K246,0))</f>
        <v/>
      </c>
      <c r="M246" s="14" t="n"/>
    </row>
    <row r="247">
      <c r="A247" s="13" t="n"/>
      <c r="B247" s="14" t="n"/>
      <c r="C247" s="14" t="n"/>
      <c r="D247" s="14" t="n"/>
      <c r="E247" s="14" t="n"/>
      <c r="F247" s="15" t="n"/>
      <c r="G247" s="14" t="n"/>
      <c r="H247" s="14" t="n"/>
      <c r="I247" s="14" t="n"/>
      <c r="J247" s="15" t="n"/>
      <c r="K247" s="15">
        <f>IF(AND(ISNUMBER(I247),ISNUMBER(J247)),I247*J247,"")</f>
        <v/>
      </c>
      <c r="L247" s="15">
        <f>IF(AND(F247="",K247=""),"",N(F247)+IF(ISNUMBER(K247),K247,0))</f>
        <v/>
      </c>
      <c r="M247" s="14" t="n"/>
    </row>
    <row r="248">
      <c r="A248" s="13" t="n"/>
      <c r="B248" s="14" t="n"/>
      <c r="C248" s="14" t="n"/>
      <c r="D248" s="14" t="n"/>
      <c r="E248" s="14" t="n"/>
      <c r="F248" s="15" t="n"/>
      <c r="G248" s="14" t="n"/>
      <c r="H248" s="14" t="n"/>
      <c r="I248" s="14" t="n"/>
      <c r="J248" s="15" t="n"/>
      <c r="K248" s="15">
        <f>IF(AND(ISNUMBER(I248),ISNUMBER(J248)),I248*J248,"")</f>
        <v/>
      </c>
      <c r="L248" s="15">
        <f>IF(AND(F248="",K248=""),"",N(F248)+IF(ISNUMBER(K248),K248,0))</f>
        <v/>
      </c>
      <c r="M248" s="14" t="n"/>
    </row>
    <row r="249">
      <c r="A249" s="13" t="n"/>
      <c r="B249" s="14" t="n"/>
      <c r="C249" s="14" t="n"/>
      <c r="D249" s="14" t="n"/>
      <c r="E249" s="14" t="n"/>
      <c r="F249" s="15" t="n"/>
      <c r="G249" s="14" t="n"/>
      <c r="H249" s="14" t="n"/>
      <c r="I249" s="14" t="n"/>
      <c r="J249" s="15" t="n"/>
      <c r="K249" s="15">
        <f>IF(AND(ISNUMBER(I249),ISNUMBER(J249)),I249*J249,"")</f>
        <v/>
      </c>
      <c r="L249" s="15">
        <f>IF(AND(F249="",K249=""),"",N(F249)+IF(ISNUMBER(K249),K249,0))</f>
        <v/>
      </c>
      <c r="M249" s="14" t="n"/>
    </row>
    <row r="250">
      <c r="A250" s="13" t="n"/>
      <c r="B250" s="14" t="n"/>
      <c r="C250" s="14" t="n"/>
      <c r="D250" s="14" t="n"/>
      <c r="E250" s="14" t="n"/>
      <c r="F250" s="15" t="n"/>
      <c r="G250" s="14" t="n"/>
      <c r="H250" s="14" t="n"/>
      <c r="I250" s="14" t="n"/>
      <c r="J250" s="15" t="n"/>
      <c r="K250" s="15">
        <f>IF(AND(ISNUMBER(I250),ISNUMBER(J250)),I250*J250,"")</f>
        <v/>
      </c>
      <c r="L250" s="15">
        <f>IF(AND(F250="",K250=""),"",N(F250)+IF(ISNUMBER(K250),K250,0))</f>
        <v/>
      </c>
      <c r="M250" s="14" t="n"/>
    </row>
    <row r="251">
      <c r="A251" s="13" t="n"/>
      <c r="B251" s="14" t="n"/>
      <c r="C251" s="14" t="n"/>
      <c r="D251" s="14" t="n"/>
      <c r="E251" s="14" t="n"/>
      <c r="F251" s="15" t="n"/>
      <c r="G251" s="14" t="n"/>
      <c r="H251" s="14" t="n"/>
      <c r="I251" s="14" t="n"/>
      <c r="J251" s="15" t="n"/>
      <c r="K251" s="15">
        <f>IF(AND(ISNUMBER(I251),ISNUMBER(J251)),I251*J251,"")</f>
        <v/>
      </c>
      <c r="L251" s="15">
        <f>IF(AND(F251="",K251=""),"",N(F251)+IF(ISNUMBER(K251),K251,0))</f>
        <v/>
      </c>
      <c r="M251" s="14" t="n"/>
    </row>
    <row r="252">
      <c r="A252" s="13" t="n"/>
      <c r="B252" s="14" t="n"/>
      <c r="C252" s="14" t="n"/>
      <c r="D252" s="14" t="n"/>
      <c r="E252" s="14" t="n"/>
      <c r="F252" s="15" t="n"/>
      <c r="G252" s="14" t="n"/>
      <c r="H252" s="14" t="n"/>
      <c r="I252" s="14" t="n"/>
      <c r="J252" s="15" t="n"/>
      <c r="K252" s="15">
        <f>IF(AND(ISNUMBER(I252),ISNUMBER(J252)),I252*J252,"")</f>
        <v/>
      </c>
      <c r="L252" s="15">
        <f>IF(AND(F252="",K252=""),"",N(F252)+IF(ISNUMBER(K252),K252,0))</f>
        <v/>
      </c>
      <c r="M252" s="14" t="n"/>
    </row>
    <row r="253">
      <c r="A253" s="13" t="n"/>
      <c r="B253" s="14" t="n"/>
      <c r="C253" s="14" t="n"/>
      <c r="D253" s="14" t="n"/>
      <c r="E253" s="14" t="n"/>
      <c r="F253" s="15" t="n"/>
      <c r="G253" s="14" t="n"/>
      <c r="H253" s="14" t="n"/>
      <c r="I253" s="14" t="n"/>
      <c r="J253" s="15" t="n"/>
      <c r="K253" s="15">
        <f>IF(AND(ISNUMBER(I253),ISNUMBER(J253)),I253*J253,"")</f>
        <v/>
      </c>
      <c r="L253" s="15">
        <f>IF(AND(F253="",K253=""),"",N(F253)+IF(ISNUMBER(K253),K253,0))</f>
        <v/>
      </c>
      <c r="M253" s="14" t="n"/>
    </row>
    <row r="254">
      <c r="A254" s="13" t="n"/>
      <c r="B254" s="14" t="n"/>
      <c r="C254" s="14" t="n"/>
      <c r="D254" s="14" t="n"/>
      <c r="E254" s="14" t="n"/>
      <c r="F254" s="15" t="n"/>
      <c r="G254" s="14" t="n"/>
      <c r="H254" s="14" t="n"/>
      <c r="I254" s="14" t="n"/>
      <c r="J254" s="15" t="n"/>
      <c r="K254" s="15">
        <f>IF(AND(ISNUMBER(I254),ISNUMBER(J254)),I254*J254,"")</f>
        <v/>
      </c>
      <c r="L254" s="15">
        <f>IF(AND(F254="",K254=""),"",N(F254)+IF(ISNUMBER(K254),K254,0))</f>
        <v/>
      </c>
      <c r="M254" s="14" t="n"/>
    </row>
    <row r="255">
      <c r="A255" s="13" t="n"/>
      <c r="B255" s="14" t="n"/>
      <c r="C255" s="14" t="n"/>
      <c r="D255" s="14" t="n"/>
      <c r="E255" s="14" t="n"/>
      <c r="F255" s="15" t="n"/>
      <c r="G255" s="14" t="n"/>
      <c r="H255" s="14" t="n"/>
      <c r="I255" s="14" t="n"/>
      <c r="J255" s="15" t="n"/>
      <c r="K255" s="15">
        <f>IF(AND(ISNUMBER(I255),ISNUMBER(J255)),I255*J255,"")</f>
        <v/>
      </c>
      <c r="L255" s="15">
        <f>IF(AND(F255="",K255=""),"",N(F255)+IF(ISNUMBER(K255),K255,0))</f>
        <v/>
      </c>
      <c r="M255" s="14" t="n"/>
    </row>
    <row r="256">
      <c r="A256" s="13" t="n"/>
      <c r="B256" s="14" t="n"/>
      <c r="C256" s="14" t="n"/>
      <c r="D256" s="14" t="n"/>
      <c r="E256" s="14" t="n"/>
      <c r="F256" s="15" t="n"/>
      <c r="G256" s="14" t="n"/>
      <c r="H256" s="14" t="n"/>
      <c r="I256" s="14" t="n"/>
      <c r="J256" s="15" t="n"/>
      <c r="K256" s="15">
        <f>IF(AND(ISNUMBER(I256),ISNUMBER(J256)),I256*J256,"")</f>
        <v/>
      </c>
      <c r="L256" s="15">
        <f>IF(AND(F256="",K256=""),"",N(F256)+IF(ISNUMBER(K256),K256,0))</f>
        <v/>
      </c>
      <c r="M256" s="14" t="n"/>
    </row>
    <row r="257">
      <c r="A257" s="13" t="n"/>
      <c r="B257" s="14" t="n"/>
      <c r="C257" s="14" t="n"/>
      <c r="D257" s="14" t="n"/>
      <c r="E257" s="14" t="n"/>
      <c r="F257" s="15" t="n"/>
      <c r="G257" s="14" t="n"/>
      <c r="H257" s="14" t="n"/>
      <c r="I257" s="14" t="n"/>
      <c r="J257" s="15" t="n"/>
      <c r="K257" s="15">
        <f>IF(AND(ISNUMBER(I257),ISNUMBER(J257)),I257*J257,"")</f>
        <v/>
      </c>
      <c r="L257" s="15">
        <f>IF(AND(F257="",K257=""),"",N(F257)+IF(ISNUMBER(K257),K257,0))</f>
        <v/>
      </c>
      <c r="M257" s="14" t="n"/>
    </row>
    <row r="258">
      <c r="A258" s="13" t="n"/>
      <c r="B258" s="14" t="n"/>
      <c r="C258" s="14" t="n"/>
      <c r="D258" s="14" t="n"/>
      <c r="E258" s="14" t="n"/>
      <c r="F258" s="15" t="n"/>
      <c r="G258" s="14" t="n"/>
      <c r="H258" s="14" t="n"/>
      <c r="I258" s="14" t="n"/>
      <c r="J258" s="15" t="n"/>
      <c r="K258" s="15">
        <f>IF(AND(ISNUMBER(I258),ISNUMBER(J258)),I258*J258,"")</f>
        <v/>
      </c>
      <c r="L258" s="15">
        <f>IF(AND(F258="",K258=""),"",N(F258)+IF(ISNUMBER(K258),K258,0))</f>
        <v/>
      </c>
      <c r="M258" s="14" t="n"/>
    </row>
    <row r="259">
      <c r="A259" s="13" t="n"/>
      <c r="B259" s="14" t="n"/>
      <c r="C259" s="14" t="n"/>
      <c r="D259" s="14" t="n"/>
      <c r="E259" s="14" t="n"/>
      <c r="F259" s="15" t="n"/>
      <c r="G259" s="14" t="n"/>
      <c r="H259" s="14" t="n"/>
      <c r="I259" s="14" t="n"/>
      <c r="J259" s="15" t="n"/>
      <c r="K259" s="15">
        <f>IF(AND(ISNUMBER(I259),ISNUMBER(J259)),I259*J259,"")</f>
        <v/>
      </c>
      <c r="L259" s="15">
        <f>IF(AND(F259="",K259=""),"",N(F259)+IF(ISNUMBER(K259),K259,0))</f>
        <v/>
      </c>
      <c r="M259" s="14" t="n"/>
    </row>
    <row r="260">
      <c r="A260" s="13" t="n"/>
      <c r="B260" s="14" t="n"/>
      <c r="C260" s="14" t="n"/>
      <c r="D260" s="14" t="n"/>
      <c r="E260" s="14" t="n"/>
      <c r="F260" s="15" t="n"/>
      <c r="G260" s="14" t="n"/>
      <c r="H260" s="14" t="n"/>
      <c r="I260" s="14" t="n"/>
      <c r="J260" s="15" t="n"/>
      <c r="K260" s="15">
        <f>IF(AND(ISNUMBER(I260),ISNUMBER(J260)),I260*J260,"")</f>
        <v/>
      </c>
      <c r="L260" s="15">
        <f>IF(AND(F260="",K260=""),"",N(F260)+IF(ISNUMBER(K260),K260,0))</f>
        <v/>
      </c>
      <c r="M260" s="14" t="n"/>
    </row>
    <row r="261">
      <c r="A261" s="13" t="n"/>
      <c r="B261" s="14" t="n"/>
      <c r="C261" s="14" t="n"/>
      <c r="D261" s="14" t="n"/>
      <c r="E261" s="14" t="n"/>
      <c r="F261" s="15" t="n"/>
      <c r="G261" s="14" t="n"/>
      <c r="H261" s="14" t="n"/>
      <c r="I261" s="14" t="n"/>
      <c r="J261" s="15" t="n"/>
      <c r="K261" s="15">
        <f>IF(AND(ISNUMBER(I261),ISNUMBER(J261)),I261*J261,"")</f>
        <v/>
      </c>
      <c r="L261" s="15">
        <f>IF(AND(F261="",K261=""),"",N(F261)+IF(ISNUMBER(K261),K261,0))</f>
        <v/>
      </c>
      <c r="M261" s="14" t="n"/>
    </row>
    <row r="262">
      <c r="A262" s="13" t="n"/>
      <c r="B262" s="14" t="n"/>
      <c r="C262" s="14" t="n"/>
      <c r="D262" s="14" t="n"/>
      <c r="E262" s="14" t="n"/>
      <c r="F262" s="15" t="n"/>
      <c r="G262" s="14" t="n"/>
      <c r="H262" s="14" t="n"/>
      <c r="I262" s="14" t="n"/>
      <c r="J262" s="15" t="n"/>
      <c r="K262" s="15">
        <f>IF(AND(ISNUMBER(I262),ISNUMBER(J262)),I262*J262,"")</f>
        <v/>
      </c>
      <c r="L262" s="15">
        <f>IF(AND(F262="",K262=""),"",N(F262)+IF(ISNUMBER(K262),K262,0))</f>
        <v/>
      </c>
      <c r="M262" s="14" t="n"/>
    </row>
    <row r="263">
      <c r="A263" s="13" t="n"/>
      <c r="B263" s="14" t="n"/>
      <c r="C263" s="14" t="n"/>
      <c r="D263" s="14" t="n"/>
      <c r="E263" s="14" t="n"/>
      <c r="F263" s="15" t="n"/>
      <c r="G263" s="14" t="n"/>
      <c r="H263" s="14" t="n"/>
      <c r="I263" s="14" t="n"/>
      <c r="J263" s="15" t="n"/>
      <c r="K263" s="15">
        <f>IF(AND(ISNUMBER(I263),ISNUMBER(J263)),I263*J263,"")</f>
        <v/>
      </c>
      <c r="L263" s="15">
        <f>IF(AND(F263="",K263=""),"",N(F263)+IF(ISNUMBER(K263),K263,0))</f>
        <v/>
      </c>
      <c r="M263" s="14" t="n"/>
    </row>
    <row r="264">
      <c r="A264" s="13" t="n"/>
      <c r="B264" s="14" t="n"/>
      <c r="C264" s="14" t="n"/>
      <c r="D264" s="14" t="n"/>
      <c r="E264" s="14" t="n"/>
      <c r="F264" s="15" t="n"/>
      <c r="G264" s="14" t="n"/>
      <c r="H264" s="14" t="n"/>
      <c r="I264" s="14" t="n"/>
      <c r="J264" s="15" t="n"/>
      <c r="K264" s="15">
        <f>IF(AND(ISNUMBER(I264),ISNUMBER(J264)),I264*J264,"")</f>
        <v/>
      </c>
      <c r="L264" s="15">
        <f>IF(AND(F264="",K264=""),"",N(F264)+IF(ISNUMBER(K264),K264,0))</f>
        <v/>
      </c>
      <c r="M264" s="14" t="n"/>
    </row>
    <row r="265">
      <c r="A265" s="13" t="n"/>
      <c r="B265" s="14" t="n"/>
      <c r="C265" s="14" t="n"/>
      <c r="D265" s="14" t="n"/>
      <c r="E265" s="14" t="n"/>
      <c r="F265" s="15" t="n"/>
      <c r="G265" s="14" t="n"/>
      <c r="H265" s="14" t="n"/>
      <c r="I265" s="14" t="n"/>
      <c r="J265" s="15" t="n"/>
      <c r="K265" s="15">
        <f>IF(AND(ISNUMBER(I265),ISNUMBER(J265)),I265*J265,"")</f>
        <v/>
      </c>
      <c r="L265" s="15">
        <f>IF(AND(F265="",K265=""),"",N(F265)+IF(ISNUMBER(K265),K265,0))</f>
        <v/>
      </c>
      <c r="M265" s="14" t="n"/>
    </row>
    <row r="266">
      <c r="A266" s="13" t="n"/>
      <c r="B266" s="14" t="n"/>
      <c r="C266" s="14" t="n"/>
      <c r="D266" s="14" t="n"/>
      <c r="E266" s="14" t="n"/>
      <c r="F266" s="15" t="n"/>
      <c r="G266" s="14" t="n"/>
      <c r="H266" s="14" t="n"/>
      <c r="I266" s="14" t="n"/>
      <c r="J266" s="15" t="n"/>
      <c r="K266" s="15">
        <f>IF(AND(ISNUMBER(I266),ISNUMBER(J266)),I266*J266,"")</f>
        <v/>
      </c>
      <c r="L266" s="15">
        <f>IF(AND(F266="",K266=""),"",N(F266)+IF(ISNUMBER(K266),K266,0))</f>
        <v/>
      </c>
      <c r="M266" s="14" t="n"/>
    </row>
    <row r="267">
      <c r="A267" s="13" t="n"/>
      <c r="B267" s="14" t="n"/>
      <c r="C267" s="14" t="n"/>
      <c r="D267" s="14" t="n"/>
      <c r="E267" s="14" t="n"/>
      <c r="F267" s="15" t="n"/>
      <c r="G267" s="14" t="n"/>
      <c r="H267" s="14" t="n"/>
      <c r="I267" s="14" t="n"/>
      <c r="J267" s="15" t="n"/>
      <c r="K267" s="15">
        <f>IF(AND(ISNUMBER(I267),ISNUMBER(J267)),I267*J267,"")</f>
        <v/>
      </c>
      <c r="L267" s="15">
        <f>IF(AND(F267="",K267=""),"",N(F267)+IF(ISNUMBER(K267),K267,0))</f>
        <v/>
      </c>
      <c r="M267" s="14" t="n"/>
    </row>
    <row r="268">
      <c r="A268" s="13" t="n"/>
      <c r="B268" s="14" t="n"/>
      <c r="C268" s="14" t="n"/>
      <c r="D268" s="14" t="n"/>
      <c r="E268" s="14" t="n"/>
      <c r="F268" s="15" t="n"/>
      <c r="G268" s="14" t="n"/>
      <c r="H268" s="14" t="n"/>
      <c r="I268" s="14" t="n"/>
      <c r="J268" s="15" t="n"/>
      <c r="K268" s="15">
        <f>IF(AND(ISNUMBER(I268),ISNUMBER(J268)),I268*J268,"")</f>
        <v/>
      </c>
      <c r="L268" s="15">
        <f>IF(AND(F268="",K268=""),"",N(F268)+IF(ISNUMBER(K268),K268,0))</f>
        <v/>
      </c>
      <c r="M268" s="14" t="n"/>
    </row>
    <row r="269">
      <c r="A269" s="13" t="n"/>
      <c r="B269" s="14" t="n"/>
      <c r="C269" s="14" t="n"/>
      <c r="D269" s="14" t="n"/>
      <c r="E269" s="14" t="n"/>
      <c r="F269" s="15" t="n"/>
      <c r="G269" s="14" t="n"/>
      <c r="H269" s="14" t="n"/>
      <c r="I269" s="14" t="n"/>
      <c r="J269" s="15" t="n"/>
      <c r="K269" s="15">
        <f>IF(AND(ISNUMBER(I269),ISNUMBER(J269)),I269*J269,"")</f>
        <v/>
      </c>
      <c r="L269" s="15">
        <f>IF(AND(F269="",K269=""),"",N(F269)+IF(ISNUMBER(K269),K269,0))</f>
        <v/>
      </c>
      <c r="M269" s="14" t="n"/>
    </row>
    <row r="270">
      <c r="A270" s="13" t="n"/>
      <c r="B270" s="14" t="n"/>
      <c r="C270" s="14" t="n"/>
      <c r="D270" s="14" t="n"/>
      <c r="E270" s="14" t="n"/>
      <c r="F270" s="15" t="n"/>
      <c r="G270" s="14" t="n"/>
      <c r="H270" s="14" t="n"/>
      <c r="I270" s="14" t="n"/>
      <c r="J270" s="15" t="n"/>
      <c r="K270" s="15">
        <f>IF(AND(ISNUMBER(I270),ISNUMBER(J270)),I270*J270,"")</f>
        <v/>
      </c>
      <c r="L270" s="15">
        <f>IF(AND(F270="",K270=""),"",N(F270)+IF(ISNUMBER(K270),K270,0))</f>
        <v/>
      </c>
      <c r="M270" s="14" t="n"/>
    </row>
    <row r="271">
      <c r="A271" s="13" t="n"/>
      <c r="B271" s="14" t="n"/>
      <c r="C271" s="14" t="n"/>
      <c r="D271" s="14" t="n"/>
      <c r="E271" s="14" t="n"/>
      <c r="F271" s="15" t="n"/>
      <c r="G271" s="14" t="n"/>
      <c r="H271" s="14" t="n"/>
      <c r="I271" s="14" t="n"/>
      <c r="J271" s="15" t="n"/>
      <c r="K271" s="15">
        <f>IF(AND(ISNUMBER(I271),ISNUMBER(J271)),I271*J271,"")</f>
        <v/>
      </c>
      <c r="L271" s="15">
        <f>IF(AND(F271="",K271=""),"",N(F271)+IF(ISNUMBER(K271),K271,0))</f>
        <v/>
      </c>
      <c r="M271" s="14" t="n"/>
    </row>
    <row r="272">
      <c r="A272" s="13" t="n"/>
      <c r="B272" s="14" t="n"/>
      <c r="C272" s="14" t="n"/>
      <c r="D272" s="14" t="n"/>
      <c r="E272" s="14" t="n"/>
      <c r="F272" s="15" t="n"/>
      <c r="G272" s="14" t="n"/>
      <c r="H272" s="14" t="n"/>
      <c r="I272" s="14" t="n"/>
      <c r="J272" s="15" t="n"/>
      <c r="K272" s="15">
        <f>IF(AND(ISNUMBER(I272),ISNUMBER(J272)),I272*J272,"")</f>
        <v/>
      </c>
      <c r="L272" s="15">
        <f>IF(AND(F272="",K272=""),"",N(F272)+IF(ISNUMBER(K272),K272,0))</f>
        <v/>
      </c>
      <c r="M272" s="14" t="n"/>
    </row>
    <row r="273">
      <c r="A273" s="13" t="n"/>
      <c r="B273" s="14" t="n"/>
      <c r="C273" s="14" t="n"/>
      <c r="D273" s="14" t="n"/>
      <c r="E273" s="14" t="n"/>
      <c r="F273" s="15" t="n"/>
      <c r="G273" s="14" t="n"/>
      <c r="H273" s="14" t="n"/>
      <c r="I273" s="14" t="n"/>
      <c r="J273" s="15" t="n"/>
      <c r="K273" s="15">
        <f>IF(AND(ISNUMBER(I273),ISNUMBER(J273)),I273*J273,"")</f>
        <v/>
      </c>
      <c r="L273" s="15">
        <f>IF(AND(F273="",K273=""),"",N(F273)+IF(ISNUMBER(K273),K273,0))</f>
        <v/>
      </c>
      <c r="M273" s="14" t="n"/>
    </row>
    <row r="274">
      <c r="A274" s="13" t="n"/>
      <c r="B274" s="14" t="n"/>
      <c r="C274" s="14" t="n"/>
      <c r="D274" s="14" t="n"/>
      <c r="E274" s="14" t="n"/>
      <c r="F274" s="15" t="n"/>
      <c r="G274" s="14" t="n"/>
      <c r="H274" s="14" t="n"/>
      <c r="I274" s="14" t="n"/>
      <c r="J274" s="15" t="n"/>
      <c r="K274" s="15">
        <f>IF(AND(ISNUMBER(I274),ISNUMBER(J274)),I274*J274,"")</f>
        <v/>
      </c>
      <c r="L274" s="15">
        <f>IF(AND(F274="",K274=""),"",N(F274)+IF(ISNUMBER(K274),K274,0))</f>
        <v/>
      </c>
      <c r="M274" s="14" t="n"/>
    </row>
    <row r="275">
      <c r="A275" s="13" t="n"/>
      <c r="B275" s="14" t="n"/>
      <c r="C275" s="14" t="n"/>
      <c r="D275" s="14" t="n"/>
      <c r="E275" s="14" t="n"/>
      <c r="F275" s="15" t="n"/>
      <c r="G275" s="14" t="n"/>
      <c r="H275" s="14" t="n"/>
      <c r="I275" s="14" t="n"/>
      <c r="J275" s="15" t="n"/>
      <c r="K275" s="15">
        <f>IF(AND(ISNUMBER(I275),ISNUMBER(J275)),I275*J275,"")</f>
        <v/>
      </c>
      <c r="L275" s="15">
        <f>IF(AND(F275="",K275=""),"",N(F275)+IF(ISNUMBER(K275),K275,0))</f>
        <v/>
      </c>
      <c r="M275" s="14" t="n"/>
    </row>
    <row r="276">
      <c r="A276" s="13" t="n"/>
      <c r="B276" s="14" t="n"/>
      <c r="C276" s="14" t="n"/>
      <c r="D276" s="14" t="n"/>
      <c r="E276" s="14" t="n"/>
      <c r="F276" s="15" t="n"/>
      <c r="G276" s="14" t="n"/>
      <c r="H276" s="14" t="n"/>
      <c r="I276" s="14" t="n"/>
      <c r="J276" s="15" t="n"/>
      <c r="K276" s="15">
        <f>IF(AND(ISNUMBER(I276),ISNUMBER(J276)),I276*J276,"")</f>
        <v/>
      </c>
      <c r="L276" s="15">
        <f>IF(AND(F276="",K276=""),"",N(F276)+IF(ISNUMBER(K276),K276,0))</f>
        <v/>
      </c>
      <c r="M276" s="14" t="n"/>
    </row>
    <row r="277">
      <c r="A277" s="13" t="n"/>
      <c r="B277" s="14" t="n"/>
      <c r="C277" s="14" t="n"/>
      <c r="D277" s="14" t="n"/>
      <c r="E277" s="14" t="n"/>
      <c r="F277" s="15" t="n"/>
      <c r="G277" s="14" t="n"/>
      <c r="H277" s="14" t="n"/>
      <c r="I277" s="14" t="n"/>
      <c r="J277" s="15" t="n"/>
      <c r="K277" s="15">
        <f>IF(AND(ISNUMBER(I277),ISNUMBER(J277)),I277*J277,"")</f>
        <v/>
      </c>
      <c r="L277" s="15">
        <f>IF(AND(F277="",K277=""),"",N(F277)+IF(ISNUMBER(K277),K277,0))</f>
        <v/>
      </c>
      <c r="M277" s="14" t="n"/>
    </row>
    <row r="278">
      <c r="A278" s="13" t="n"/>
      <c r="B278" s="14" t="n"/>
      <c r="C278" s="14" t="n"/>
      <c r="D278" s="14" t="n"/>
      <c r="E278" s="14" t="n"/>
      <c r="F278" s="15" t="n"/>
      <c r="G278" s="14" t="n"/>
      <c r="H278" s="14" t="n"/>
      <c r="I278" s="14" t="n"/>
      <c r="J278" s="15" t="n"/>
      <c r="K278" s="15">
        <f>IF(AND(ISNUMBER(I278),ISNUMBER(J278)),I278*J278,"")</f>
        <v/>
      </c>
      <c r="L278" s="15">
        <f>IF(AND(F278="",K278=""),"",N(F278)+IF(ISNUMBER(K278),K278,0))</f>
        <v/>
      </c>
      <c r="M278" s="14" t="n"/>
    </row>
    <row r="279">
      <c r="A279" s="13" t="n"/>
      <c r="B279" s="14" t="n"/>
      <c r="C279" s="14" t="n"/>
      <c r="D279" s="14" t="n"/>
      <c r="E279" s="14" t="n"/>
      <c r="F279" s="15" t="n"/>
      <c r="G279" s="14" t="n"/>
      <c r="H279" s="14" t="n"/>
      <c r="I279" s="14" t="n"/>
      <c r="J279" s="15" t="n"/>
      <c r="K279" s="15">
        <f>IF(AND(ISNUMBER(I279),ISNUMBER(J279)),I279*J279,"")</f>
        <v/>
      </c>
      <c r="L279" s="15">
        <f>IF(AND(F279="",K279=""),"",N(F279)+IF(ISNUMBER(K279),K279,0))</f>
        <v/>
      </c>
      <c r="M279" s="14" t="n"/>
    </row>
    <row r="280">
      <c r="A280" s="13" t="n"/>
      <c r="B280" s="14" t="n"/>
      <c r="C280" s="14" t="n"/>
      <c r="D280" s="14" t="n"/>
      <c r="E280" s="14" t="n"/>
      <c r="F280" s="15" t="n"/>
      <c r="G280" s="14" t="n"/>
      <c r="H280" s="14" t="n"/>
      <c r="I280" s="14" t="n"/>
      <c r="J280" s="15" t="n"/>
      <c r="K280" s="15">
        <f>IF(AND(ISNUMBER(I280),ISNUMBER(J280)),I280*J280,"")</f>
        <v/>
      </c>
      <c r="L280" s="15">
        <f>IF(AND(F280="",K280=""),"",N(F280)+IF(ISNUMBER(K280),K280,0))</f>
        <v/>
      </c>
      <c r="M280" s="14" t="n"/>
    </row>
    <row r="281">
      <c r="A281" s="13" t="n"/>
      <c r="B281" s="14" t="n"/>
      <c r="C281" s="14" t="n"/>
      <c r="D281" s="14" t="n"/>
      <c r="E281" s="14" t="n"/>
      <c r="F281" s="15" t="n"/>
      <c r="G281" s="14" t="n"/>
      <c r="H281" s="14" t="n"/>
      <c r="I281" s="14" t="n"/>
      <c r="J281" s="15" t="n"/>
      <c r="K281" s="15">
        <f>IF(AND(ISNUMBER(I281),ISNUMBER(J281)),I281*J281,"")</f>
        <v/>
      </c>
      <c r="L281" s="15">
        <f>IF(AND(F281="",K281=""),"",N(F281)+IF(ISNUMBER(K281),K281,0))</f>
        <v/>
      </c>
      <c r="M281" s="14" t="n"/>
    </row>
    <row r="282">
      <c r="A282" s="13" t="n"/>
      <c r="B282" s="14" t="n"/>
      <c r="C282" s="14" t="n"/>
      <c r="D282" s="14" t="n"/>
      <c r="E282" s="14" t="n"/>
      <c r="F282" s="15" t="n"/>
      <c r="G282" s="14" t="n"/>
      <c r="H282" s="14" t="n"/>
      <c r="I282" s="14" t="n"/>
      <c r="J282" s="15" t="n"/>
      <c r="K282" s="15">
        <f>IF(AND(ISNUMBER(I282),ISNUMBER(J282)),I282*J282,"")</f>
        <v/>
      </c>
      <c r="L282" s="15">
        <f>IF(AND(F282="",K282=""),"",N(F282)+IF(ISNUMBER(K282),K282,0))</f>
        <v/>
      </c>
      <c r="M282" s="14" t="n"/>
    </row>
    <row r="283">
      <c r="A283" s="13" t="n"/>
      <c r="B283" s="14" t="n"/>
      <c r="C283" s="14" t="n"/>
      <c r="D283" s="14" t="n"/>
      <c r="E283" s="14" t="n"/>
      <c r="F283" s="15" t="n"/>
      <c r="G283" s="14" t="n"/>
      <c r="H283" s="14" t="n"/>
      <c r="I283" s="14" t="n"/>
      <c r="J283" s="15" t="n"/>
      <c r="K283" s="15">
        <f>IF(AND(ISNUMBER(I283),ISNUMBER(J283)),I283*J283,"")</f>
        <v/>
      </c>
      <c r="L283" s="15">
        <f>IF(AND(F283="",K283=""),"",N(F283)+IF(ISNUMBER(K283),K283,0))</f>
        <v/>
      </c>
      <c r="M283" s="14" t="n"/>
    </row>
    <row r="284">
      <c r="A284" s="13" t="n"/>
      <c r="B284" s="14" t="n"/>
      <c r="C284" s="14" t="n"/>
      <c r="D284" s="14" t="n"/>
      <c r="E284" s="14" t="n"/>
      <c r="F284" s="15" t="n"/>
      <c r="G284" s="14" t="n"/>
      <c r="H284" s="14" t="n"/>
      <c r="I284" s="14" t="n"/>
      <c r="J284" s="15" t="n"/>
      <c r="K284" s="15">
        <f>IF(AND(ISNUMBER(I284),ISNUMBER(J284)),I284*J284,"")</f>
        <v/>
      </c>
      <c r="L284" s="15">
        <f>IF(AND(F284="",K284=""),"",N(F284)+IF(ISNUMBER(K284),K284,0))</f>
        <v/>
      </c>
      <c r="M284" s="14" t="n"/>
    </row>
    <row r="285">
      <c r="A285" s="13" t="n"/>
      <c r="B285" s="14" t="n"/>
      <c r="C285" s="14" t="n"/>
      <c r="D285" s="14" t="n"/>
      <c r="E285" s="14" t="n"/>
      <c r="F285" s="15" t="n"/>
      <c r="G285" s="14" t="n"/>
      <c r="H285" s="14" t="n"/>
      <c r="I285" s="14" t="n"/>
      <c r="J285" s="15" t="n"/>
      <c r="K285" s="15">
        <f>IF(AND(ISNUMBER(I285),ISNUMBER(J285)),I285*J285,"")</f>
        <v/>
      </c>
      <c r="L285" s="15">
        <f>IF(AND(F285="",K285=""),"",N(F285)+IF(ISNUMBER(K285),K285,0))</f>
        <v/>
      </c>
      <c r="M285" s="14" t="n"/>
    </row>
    <row r="286">
      <c r="A286" s="13" t="n"/>
      <c r="B286" s="14" t="n"/>
      <c r="C286" s="14" t="n"/>
      <c r="D286" s="14" t="n"/>
      <c r="E286" s="14" t="n"/>
      <c r="F286" s="15" t="n"/>
      <c r="G286" s="14" t="n"/>
      <c r="H286" s="14" t="n"/>
      <c r="I286" s="14" t="n"/>
      <c r="J286" s="15" t="n"/>
      <c r="K286" s="15">
        <f>IF(AND(ISNUMBER(I286),ISNUMBER(J286)),I286*J286,"")</f>
        <v/>
      </c>
      <c r="L286" s="15">
        <f>IF(AND(F286="",K286=""),"",N(F286)+IF(ISNUMBER(K286),K286,0))</f>
        <v/>
      </c>
      <c r="M286" s="14" t="n"/>
    </row>
    <row r="287">
      <c r="A287" s="13" t="n"/>
      <c r="B287" s="14" t="n"/>
      <c r="C287" s="14" t="n"/>
      <c r="D287" s="14" t="n"/>
      <c r="E287" s="14" t="n"/>
      <c r="F287" s="15" t="n"/>
      <c r="G287" s="14" t="n"/>
      <c r="H287" s="14" t="n"/>
      <c r="I287" s="14" t="n"/>
      <c r="J287" s="15" t="n"/>
      <c r="K287" s="15">
        <f>IF(AND(ISNUMBER(I287),ISNUMBER(J287)),I287*J287,"")</f>
        <v/>
      </c>
      <c r="L287" s="15">
        <f>IF(AND(F287="",K287=""),"",N(F287)+IF(ISNUMBER(K287),K287,0))</f>
        <v/>
      </c>
      <c r="M287" s="14" t="n"/>
    </row>
    <row r="288">
      <c r="A288" s="13" t="n"/>
      <c r="B288" s="14" t="n"/>
      <c r="C288" s="14" t="n"/>
      <c r="D288" s="14" t="n"/>
      <c r="E288" s="14" t="n"/>
      <c r="F288" s="15" t="n"/>
      <c r="G288" s="14" t="n"/>
      <c r="H288" s="14" t="n"/>
      <c r="I288" s="14" t="n"/>
      <c r="J288" s="15" t="n"/>
      <c r="K288" s="15">
        <f>IF(AND(ISNUMBER(I288),ISNUMBER(J288)),I288*J288,"")</f>
        <v/>
      </c>
      <c r="L288" s="15">
        <f>IF(AND(F288="",K288=""),"",N(F288)+IF(ISNUMBER(K288),K288,0))</f>
        <v/>
      </c>
      <c r="M288" s="14" t="n"/>
    </row>
    <row r="289">
      <c r="A289" s="13" t="n"/>
      <c r="B289" s="14" t="n"/>
      <c r="C289" s="14" t="n"/>
      <c r="D289" s="14" t="n"/>
      <c r="E289" s="14" t="n"/>
      <c r="F289" s="15" t="n"/>
      <c r="G289" s="14" t="n"/>
      <c r="H289" s="14" t="n"/>
      <c r="I289" s="14" t="n"/>
      <c r="J289" s="15" t="n"/>
      <c r="K289" s="15">
        <f>IF(AND(ISNUMBER(I289),ISNUMBER(J289)),I289*J289,"")</f>
        <v/>
      </c>
      <c r="L289" s="15">
        <f>IF(AND(F289="",K289=""),"",N(F289)+IF(ISNUMBER(K289),K289,0))</f>
        <v/>
      </c>
      <c r="M289" s="14" t="n"/>
    </row>
    <row r="290">
      <c r="A290" s="13" t="n"/>
      <c r="B290" s="14" t="n"/>
      <c r="C290" s="14" t="n"/>
      <c r="D290" s="14" t="n"/>
      <c r="E290" s="14" t="n"/>
      <c r="F290" s="15" t="n"/>
      <c r="G290" s="14" t="n"/>
      <c r="H290" s="14" t="n"/>
      <c r="I290" s="14" t="n"/>
      <c r="J290" s="15" t="n"/>
      <c r="K290" s="15">
        <f>IF(AND(ISNUMBER(I290),ISNUMBER(J290)),I290*J290,"")</f>
        <v/>
      </c>
      <c r="L290" s="15">
        <f>IF(AND(F290="",K290=""),"",N(F290)+IF(ISNUMBER(K290),K290,0))</f>
        <v/>
      </c>
      <c r="M290" s="14" t="n"/>
    </row>
    <row r="291">
      <c r="A291" s="13" t="n"/>
      <c r="B291" s="14" t="n"/>
      <c r="C291" s="14" t="n"/>
      <c r="D291" s="14" t="n"/>
      <c r="E291" s="14" t="n"/>
      <c r="F291" s="15" t="n"/>
      <c r="G291" s="14" t="n"/>
      <c r="H291" s="14" t="n"/>
      <c r="I291" s="14" t="n"/>
      <c r="J291" s="15" t="n"/>
      <c r="K291" s="15">
        <f>IF(AND(ISNUMBER(I291),ISNUMBER(J291)),I291*J291,"")</f>
        <v/>
      </c>
      <c r="L291" s="15">
        <f>IF(AND(F291="",K291=""),"",N(F291)+IF(ISNUMBER(K291),K291,0))</f>
        <v/>
      </c>
      <c r="M291" s="14" t="n"/>
    </row>
    <row r="292">
      <c r="A292" s="13" t="n"/>
      <c r="B292" s="14" t="n"/>
      <c r="C292" s="14" t="n"/>
      <c r="D292" s="14" t="n"/>
      <c r="E292" s="14" t="n"/>
      <c r="F292" s="15" t="n"/>
      <c r="G292" s="14" t="n"/>
      <c r="H292" s="14" t="n"/>
      <c r="I292" s="14" t="n"/>
      <c r="J292" s="15" t="n"/>
      <c r="K292" s="15">
        <f>IF(AND(ISNUMBER(I292),ISNUMBER(J292)),I292*J292,"")</f>
        <v/>
      </c>
      <c r="L292" s="15">
        <f>IF(AND(F292="",K292=""),"",N(F292)+IF(ISNUMBER(K292),K292,0))</f>
        <v/>
      </c>
      <c r="M292" s="14" t="n"/>
    </row>
    <row r="293">
      <c r="A293" s="13" t="n"/>
      <c r="B293" s="14" t="n"/>
      <c r="C293" s="14" t="n"/>
      <c r="D293" s="14" t="n"/>
      <c r="E293" s="14" t="n"/>
      <c r="F293" s="15" t="n"/>
      <c r="G293" s="14" t="n"/>
      <c r="H293" s="14" t="n"/>
      <c r="I293" s="14" t="n"/>
      <c r="J293" s="15" t="n"/>
      <c r="K293" s="15">
        <f>IF(AND(ISNUMBER(I293),ISNUMBER(J293)),I293*J293,"")</f>
        <v/>
      </c>
      <c r="L293" s="15">
        <f>IF(AND(F293="",K293=""),"",N(F293)+IF(ISNUMBER(K293),K293,0))</f>
        <v/>
      </c>
      <c r="M293" s="14" t="n"/>
    </row>
    <row r="294">
      <c r="A294" s="13" t="n"/>
      <c r="B294" s="14" t="n"/>
      <c r="C294" s="14" t="n"/>
      <c r="D294" s="14" t="n"/>
      <c r="E294" s="14" t="n"/>
      <c r="F294" s="15" t="n"/>
      <c r="G294" s="14" t="n"/>
      <c r="H294" s="14" t="n"/>
      <c r="I294" s="14" t="n"/>
      <c r="J294" s="15" t="n"/>
      <c r="K294" s="15">
        <f>IF(AND(ISNUMBER(I294),ISNUMBER(J294)),I294*J294,"")</f>
        <v/>
      </c>
      <c r="L294" s="15">
        <f>IF(AND(F294="",K294=""),"",N(F294)+IF(ISNUMBER(K294),K294,0))</f>
        <v/>
      </c>
      <c r="M294" s="14" t="n"/>
    </row>
    <row r="295">
      <c r="A295" s="13" t="n"/>
      <c r="B295" s="14" t="n"/>
      <c r="C295" s="14" t="n"/>
      <c r="D295" s="14" t="n"/>
      <c r="E295" s="14" t="n"/>
      <c r="F295" s="15" t="n"/>
      <c r="G295" s="14" t="n"/>
      <c r="H295" s="14" t="n"/>
      <c r="I295" s="14" t="n"/>
      <c r="J295" s="15" t="n"/>
      <c r="K295" s="15">
        <f>IF(AND(ISNUMBER(I295),ISNUMBER(J295)),I295*J295,"")</f>
        <v/>
      </c>
      <c r="L295" s="15">
        <f>IF(AND(F295="",K295=""),"",N(F295)+IF(ISNUMBER(K295),K295,0))</f>
        <v/>
      </c>
      <c r="M295" s="14" t="n"/>
    </row>
    <row r="296">
      <c r="A296" s="13" t="n"/>
      <c r="B296" s="14" t="n"/>
      <c r="C296" s="14" t="n"/>
      <c r="D296" s="14" t="n"/>
      <c r="E296" s="14" t="n"/>
      <c r="F296" s="15" t="n"/>
      <c r="G296" s="14" t="n"/>
      <c r="H296" s="14" t="n"/>
      <c r="I296" s="14" t="n"/>
      <c r="J296" s="15" t="n"/>
      <c r="K296" s="15">
        <f>IF(AND(ISNUMBER(I296),ISNUMBER(J296)),I296*J296,"")</f>
        <v/>
      </c>
      <c r="L296" s="15">
        <f>IF(AND(F296="",K296=""),"",N(F296)+IF(ISNUMBER(K296),K296,0))</f>
        <v/>
      </c>
      <c r="M296" s="14" t="n"/>
    </row>
    <row r="297">
      <c r="A297" s="13" t="n"/>
      <c r="B297" s="14" t="n"/>
      <c r="C297" s="14" t="n"/>
      <c r="D297" s="14" t="n"/>
      <c r="E297" s="14" t="n"/>
      <c r="F297" s="15" t="n"/>
      <c r="G297" s="14" t="n"/>
      <c r="H297" s="14" t="n"/>
      <c r="I297" s="14" t="n"/>
      <c r="J297" s="15" t="n"/>
      <c r="K297" s="15">
        <f>IF(AND(ISNUMBER(I297),ISNUMBER(J297)),I297*J297,"")</f>
        <v/>
      </c>
      <c r="L297" s="15">
        <f>IF(AND(F297="",K297=""),"",N(F297)+IF(ISNUMBER(K297),K297,0))</f>
        <v/>
      </c>
      <c r="M297" s="14" t="n"/>
    </row>
    <row r="298">
      <c r="A298" s="13" t="n"/>
      <c r="B298" s="14" t="n"/>
      <c r="C298" s="14" t="n"/>
      <c r="D298" s="14" t="n"/>
      <c r="E298" s="14" t="n"/>
      <c r="F298" s="15" t="n"/>
      <c r="G298" s="14" t="n"/>
      <c r="H298" s="14" t="n"/>
      <c r="I298" s="14" t="n"/>
      <c r="J298" s="15" t="n"/>
      <c r="K298" s="15">
        <f>IF(AND(ISNUMBER(I298),ISNUMBER(J298)),I298*J298,"")</f>
        <v/>
      </c>
      <c r="L298" s="15">
        <f>IF(AND(F298="",K298=""),"",N(F298)+IF(ISNUMBER(K298),K298,0))</f>
        <v/>
      </c>
      <c r="M298" s="14" t="n"/>
    </row>
    <row r="299">
      <c r="A299" s="13" t="n"/>
      <c r="B299" s="14" t="n"/>
      <c r="C299" s="14" t="n"/>
      <c r="D299" s="14" t="n"/>
      <c r="E299" s="14" t="n"/>
      <c r="F299" s="15" t="n"/>
      <c r="G299" s="14" t="n"/>
      <c r="H299" s="14" t="n"/>
      <c r="I299" s="14" t="n"/>
      <c r="J299" s="15" t="n"/>
      <c r="K299" s="15">
        <f>IF(AND(ISNUMBER(I299),ISNUMBER(J299)),I299*J299,"")</f>
        <v/>
      </c>
      <c r="L299" s="15">
        <f>IF(AND(F299="",K299=""),"",N(F299)+IF(ISNUMBER(K299),K299,0))</f>
        <v/>
      </c>
      <c r="M299" s="14" t="n"/>
    </row>
    <row r="300">
      <c r="A300" s="13" t="n"/>
      <c r="B300" s="14" t="n"/>
      <c r="C300" s="14" t="n"/>
      <c r="D300" s="14" t="n"/>
      <c r="E300" s="14" t="n"/>
      <c r="F300" s="15" t="n"/>
      <c r="G300" s="14" t="n"/>
      <c r="H300" s="14" t="n"/>
      <c r="I300" s="14" t="n"/>
      <c r="J300" s="15" t="n"/>
      <c r="K300" s="15">
        <f>IF(AND(ISNUMBER(I300),ISNUMBER(J300)),I300*J300,"")</f>
        <v/>
      </c>
      <c r="L300" s="15">
        <f>IF(AND(F300="",K300=""),"",N(F300)+IF(ISNUMBER(K300),K300,0))</f>
        <v/>
      </c>
      <c r="M300" s="14" t="n"/>
    </row>
    <row r="301">
      <c r="A301" s="13" t="n"/>
      <c r="B301" s="14" t="n"/>
      <c r="C301" s="14" t="n"/>
      <c r="D301" s="14" t="n"/>
      <c r="E301" s="14" t="n"/>
      <c r="F301" s="15" t="n"/>
      <c r="G301" s="14" t="n"/>
      <c r="H301" s="14" t="n"/>
      <c r="I301" s="14" t="n"/>
      <c r="J301" s="15" t="n"/>
      <c r="K301" s="15">
        <f>IF(AND(ISNUMBER(I301),ISNUMBER(J301)),I301*J301,"")</f>
        <v/>
      </c>
      <c r="L301" s="15">
        <f>IF(AND(F301="",K301=""),"",N(F301)+IF(ISNUMBER(K301),K301,0))</f>
        <v/>
      </c>
      <c r="M301" s="14" t="n"/>
    </row>
    <row r="302">
      <c r="A302" s="13" t="n"/>
      <c r="B302" s="14" t="n"/>
      <c r="C302" s="14" t="n"/>
      <c r="D302" s="14" t="n"/>
      <c r="E302" s="14" t="n"/>
      <c r="F302" s="15" t="n"/>
      <c r="G302" s="14" t="n"/>
      <c r="H302" s="14" t="n"/>
      <c r="I302" s="14" t="n"/>
      <c r="J302" s="15" t="n"/>
      <c r="K302" s="15">
        <f>IF(AND(ISNUMBER(I302),ISNUMBER(J302)),I302*J302,"")</f>
        <v/>
      </c>
      <c r="L302" s="15">
        <f>IF(AND(F302="",K302=""),"",N(F302)+IF(ISNUMBER(K302),K302,0))</f>
        <v/>
      </c>
      <c r="M302" s="14" t="n"/>
    </row>
    <row r="303">
      <c r="A303" s="13" t="n"/>
      <c r="B303" s="14" t="n"/>
      <c r="C303" s="14" t="n"/>
      <c r="D303" s="14" t="n"/>
      <c r="E303" s="14" t="n"/>
      <c r="F303" s="15" t="n"/>
      <c r="G303" s="14" t="n"/>
      <c r="H303" s="14" t="n"/>
      <c r="I303" s="14" t="n"/>
      <c r="J303" s="15" t="n"/>
      <c r="K303" s="15">
        <f>IF(AND(ISNUMBER(I303),ISNUMBER(J303)),I303*J303,"")</f>
        <v/>
      </c>
      <c r="L303" s="15">
        <f>IF(AND(F303="",K303=""),"",N(F303)+IF(ISNUMBER(K303),K303,0))</f>
        <v/>
      </c>
      <c r="M303" s="14" t="n"/>
    </row>
    <row r="304">
      <c r="A304" s="13" t="n"/>
      <c r="B304" s="14" t="n"/>
      <c r="C304" s="14" t="n"/>
      <c r="D304" s="14" t="n"/>
      <c r="E304" s="14" t="n"/>
      <c r="F304" s="15" t="n"/>
      <c r="G304" s="14" t="n"/>
      <c r="H304" s="14" t="n"/>
      <c r="I304" s="14" t="n"/>
      <c r="J304" s="15" t="n"/>
      <c r="K304" s="15">
        <f>IF(AND(ISNUMBER(I304),ISNUMBER(J304)),I304*J304,"")</f>
        <v/>
      </c>
      <c r="L304" s="15">
        <f>IF(AND(F304="",K304=""),"",N(F304)+IF(ISNUMBER(K304),K304,0))</f>
        <v/>
      </c>
      <c r="M304" s="14" t="n"/>
    </row>
    <row r="305">
      <c r="A305" s="13" t="n"/>
      <c r="B305" s="14" t="n"/>
      <c r="C305" s="14" t="n"/>
      <c r="D305" s="14" t="n"/>
      <c r="E305" s="14" t="n"/>
      <c r="F305" s="15" t="n"/>
      <c r="G305" s="14" t="n"/>
      <c r="H305" s="14" t="n"/>
      <c r="I305" s="14" t="n"/>
      <c r="J305" s="15" t="n"/>
      <c r="K305" s="15">
        <f>IF(AND(ISNUMBER(I305),ISNUMBER(J305)),I305*J305,"")</f>
        <v/>
      </c>
      <c r="L305" s="15">
        <f>IF(AND(F305="",K305=""),"",N(F305)+IF(ISNUMBER(K305),K305,0))</f>
        <v/>
      </c>
      <c r="M305" s="14" t="n"/>
    </row>
    <row r="306">
      <c r="A306" s="13" t="n"/>
      <c r="B306" s="14" t="n"/>
      <c r="C306" s="14" t="n"/>
      <c r="D306" s="14" t="n"/>
      <c r="E306" s="14" t="n"/>
      <c r="F306" s="15" t="n"/>
      <c r="G306" s="14" t="n"/>
      <c r="H306" s="14" t="n"/>
      <c r="I306" s="14" t="n"/>
      <c r="J306" s="15" t="n"/>
      <c r="K306" s="15">
        <f>IF(AND(ISNUMBER(I306),ISNUMBER(J306)),I306*J306,"")</f>
        <v/>
      </c>
      <c r="L306" s="15">
        <f>IF(AND(F306="",K306=""),"",N(F306)+IF(ISNUMBER(K306),K306,0))</f>
        <v/>
      </c>
      <c r="M306" s="14" t="n"/>
    </row>
    <row r="307">
      <c r="A307" s="13" t="n"/>
      <c r="B307" s="14" t="n"/>
      <c r="C307" s="14" t="n"/>
      <c r="D307" s="14" t="n"/>
      <c r="E307" s="14" t="n"/>
      <c r="F307" s="15" t="n"/>
      <c r="G307" s="14" t="n"/>
      <c r="H307" s="14" t="n"/>
      <c r="I307" s="14" t="n"/>
      <c r="J307" s="15" t="n"/>
      <c r="K307" s="15">
        <f>IF(AND(ISNUMBER(I307),ISNUMBER(J307)),I307*J307,"")</f>
        <v/>
      </c>
      <c r="L307" s="15">
        <f>IF(AND(F307="",K307=""),"",N(F307)+IF(ISNUMBER(K307),K307,0))</f>
        <v/>
      </c>
      <c r="M307" s="14" t="n"/>
    </row>
    <row r="308">
      <c r="A308" s="13" t="n"/>
      <c r="B308" s="14" t="n"/>
      <c r="C308" s="14" t="n"/>
      <c r="D308" s="14" t="n"/>
      <c r="E308" s="14" t="n"/>
      <c r="F308" s="15" t="n"/>
      <c r="G308" s="14" t="n"/>
      <c r="H308" s="14" t="n"/>
      <c r="I308" s="14" t="n"/>
      <c r="J308" s="15" t="n"/>
      <c r="K308" s="15">
        <f>IF(AND(ISNUMBER(I308),ISNUMBER(J308)),I308*J308,"")</f>
        <v/>
      </c>
      <c r="L308" s="15">
        <f>IF(AND(F308="",K308=""),"",N(F308)+IF(ISNUMBER(K308),K308,0))</f>
        <v/>
      </c>
      <c r="M308" s="14" t="n"/>
    </row>
    <row r="309">
      <c r="A309" s="13" t="n"/>
      <c r="B309" s="14" t="n"/>
      <c r="C309" s="14" t="n"/>
      <c r="D309" s="14" t="n"/>
      <c r="E309" s="14" t="n"/>
      <c r="F309" s="15" t="n"/>
      <c r="G309" s="14" t="n"/>
      <c r="H309" s="14" t="n"/>
      <c r="I309" s="14" t="n"/>
      <c r="J309" s="15" t="n"/>
      <c r="K309" s="15">
        <f>IF(AND(ISNUMBER(I309),ISNUMBER(J309)),I309*J309,"")</f>
        <v/>
      </c>
      <c r="L309" s="15">
        <f>IF(AND(F309="",K309=""),"",N(F309)+IF(ISNUMBER(K309),K309,0))</f>
        <v/>
      </c>
      <c r="M309" s="14" t="n"/>
    </row>
    <row r="310">
      <c r="A310" s="13" t="n"/>
      <c r="B310" s="14" t="n"/>
      <c r="C310" s="14" t="n"/>
      <c r="D310" s="14" t="n"/>
      <c r="E310" s="14" t="n"/>
      <c r="F310" s="15" t="n"/>
      <c r="G310" s="14" t="n"/>
      <c r="H310" s="14" t="n"/>
      <c r="I310" s="14" t="n"/>
      <c r="J310" s="15" t="n"/>
      <c r="K310" s="15">
        <f>IF(AND(ISNUMBER(I310),ISNUMBER(J310)),I310*J310,"")</f>
        <v/>
      </c>
      <c r="L310" s="15">
        <f>IF(AND(F310="",K310=""),"",N(F310)+IF(ISNUMBER(K310),K310,0))</f>
        <v/>
      </c>
      <c r="M310" s="14" t="n"/>
    </row>
    <row r="311">
      <c r="A311" s="13" t="n"/>
      <c r="B311" s="14" t="n"/>
      <c r="C311" s="14" t="n"/>
      <c r="D311" s="14" t="n"/>
      <c r="E311" s="14" t="n"/>
      <c r="F311" s="15" t="n"/>
      <c r="G311" s="14" t="n"/>
      <c r="H311" s="14" t="n"/>
      <c r="I311" s="14" t="n"/>
      <c r="J311" s="15" t="n"/>
      <c r="K311" s="15">
        <f>IF(AND(ISNUMBER(I311),ISNUMBER(J311)),I311*J311,"")</f>
        <v/>
      </c>
      <c r="L311" s="15">
        <f>IF(AND(F311="",K311=""),"",N(F311)+IF(ISNUMBER(K311),K311,0))</f>
        <v/>
      </c>
      <c r="M311" s="14" t="n"/>
    </row>
    <row r="312">
      <c r="A312" s="13" t="n"/>
      <c r="B312" s="14" t="n"/>
      <c r="C312" s="14" t="n"/>
      <c r="D312" s="14" t="n"/>
      <c r="E312" s="14" t="n"/>
      <c r="F312" s="15" t="n"/>
      <c r="G312" s="14" t="n"/>
      <c r="H312" s="14" t="n"/>
      <c r="I312" s="14" t="n"/>
      <c r="J312" s="15" t="n"/>
      <c r="K312" s="15">
        <f>IF(AND(ISNUMBER(I312),ISNUMBER(J312)),I312*J312,"")</f>
        <v/>
      </c>
      <c r="L312" s="15">
        <f>IF(AND(F312="",K312=""),"",N(F312)+IF(ISNUMBER(K312),K312,0))</f>
        <v/>
      </c>
      <c r="M312" s="14" t="n"/>
    </row>
    <row r="313">
      <c r="A313" s="13" t="n"/>
      <c r="B313" s="14" t="n"/>
      <c r="C313" s="14" t="n"/>
      <c r="D313" s="14" t="n"/>
      <c r="E313" s="14" t="n"/>
      <c r="F313" s="15" t="n"/>
      <c r="G313" s="14" t="n"/>
      <c r="H313" s="14" t="n"/>
      <c r="I313" s="14" t="n"/>
      <c r="J313" s="15" t="n"/>
      <c r="K313" s="15">
        <f>IF(AND(ISNUMBER(I313),ISNUMBER(J313)),I313*J313,"")</f>
        <v/>
      </c>
      <c r="L313" s="15">
        <f>IF(AND(F313="",K313=""),"",N(F313)+IF(ISNUMBER(K313),K313,0))</f>
        <v/>
      </c>
      <c r="M313" s="14" t="n"/>
    </row>
    <row r="314">
      <c r="A314" s="13" t="n"/>
      <c r="B314" s="14" t="n"/>
      <c r="C314" s="14" t="n"/>
      <c r="D314" s="14" t="n"/>
      <c r="E314" s="14" t="n"/>
      <c r="F314" s="15" t="n"/>
      <c r="G314" s="14" t="n"/>
      <c r="H314" s="14" t="n"/>
      <c r="I314" s="14" t="n"/>
      <c r="J314" s="15" t="n"/>
      <c r="K314" s="15">
        <f>IF(AND(ISNUMBER(I314),ISNUMBER(J314)),I314*J314,"")</f>
        <v/>
      </c>
      <c r="L314" s="15">
        <f>IF(AND(F314="",K314=""),"",N(F314)+IF(ISNUMBER(K314),K314,0))</f>
        <v/>
      </c>
      <c r="M314" s="14" t="n"/>
    </row>
    <row r="315">
      <c r="A315" s="13" t="n"/>
      <c r="B315" s="14" t="n"/>
      <c r="C315" s="14" t="n"/>
      <c r="D315" s="14" t="n"/>
      <c r="E315" s="14" t="n"/>
      <c r="F315" s="15" t="n"/>
      <c r="G315" s="14" t="n"/>
      <c r="H315" s="14" t="n"/>
      <c r="I315" s="14" t="n"/>
      <c r="J315" s="15" t="n"/>
      <c r="K315" s="15">
        <f>IF(AND(ISNUMBER(I315),ISNUMBER(J315)),I315*J315,"")</f>
        <v/>
      </c>
      <c r="L315" s="15">
        <f>IF(AND(F315="",K315=""),"",N(F315)+IF(ISNUMBER(K315),K315,0))</f>
        <v/>
      </c>
      <c r="M315" s="14" t="n"/>
    </row>
    <row r="316">
      <c r="A316" s="13" t="n"/>
      <c r="B316" s="14" t="n"/>
      <c r="C316" s="14" t="n"/>
      <c r="D316" s="14" t="n"/>
      <c r="E316" s="14" t="n"/>
      <c r="F316" s="15" t="n"/>
      <c r="G316" s="14" t="n"/>
      <c r="H316" s="14" t="n"/>
      <c r="I316" s="14" t="n"/>
      <c r="J316" s="15" t="n"/>
      <c r="K316" s="15">
        <f>IF(AND(ISNUMBER(I316),ISNUMBER(J316)),I316*J316,"")</f>
        <v/>
      </c>
      <c r="L316" s="15">
        <f>IF(AND(F316="",K316=""),"",N(F316)+IF(ISNUMBER(K316),K316,0))</f>
        <v/>
      </c>
      <c r="M316" s="14" t="n"/>
    </row>
    <row r="317">
      <c r="A317" s="13" t="n"/>
      <c r="B317" s="14" t="n"/>
      <c r="C317" s="14" t="n"/>
      <c r="D317" s="14" t="n"/>
      <c r="E317" s="14" t="n"/>
      <c r="F317" s="15" t="n"/>
      <c r="G317" s="14" t="n"/>
      <c r="H317" s="14" t="n"/>
      <c r="I317" s="14" t="n"/>
      <c r="J317" s="15" t="n"/>
      <c r="K317" s="15">
        <f>IF(AND(ISNUMBER(I317),ISNUMBER(J317)),I317*J317,"")</f>
        <v/>
      </c>
      <c r="L317" s="15">
        <f>IF(AND(F317="",K317=""),"",N(F317)+IF(ISNUMBER(K317),K317,0))</f>
        <v/>
      </c>
      <c r="M317" s="14" t="n"/>
    </row>
    <row r="318">
      <c r="A318" s="13" t="n"/>
      <c r="B318" s="14" t="n"/>
      <c r="C318" s="14" t="n"/>
      <c r="D318" s="14" t="n"/>
      <c r="E318" s="14" t="n"/>
      <c r="F318" s="15" t="n"/>
      <c r="G318" s="14" t="n"/>
      <c r="H318" s="14" t="n"/>
      <c r="I318" s="14" t="n"/>
      <c r="J318" s="15" t="n"/>
      <c r="K318" s="15">
        <f>IF(AND(ISNUMBER(I318),ISNUMBER(J318)),I318*J318,"")</f>
        <v/>
      </c>
      <c r="L318" s="15">
        <f>IF(AND(F318="",K318=""),"",N(F318)+IF(ISNUMBER(K318),K318,0))</f>
        <v/>
      </c>
      <c r="M318" s="14" t="n"/>
    </row>
    <row r="319">
      <c r="A319" s="13" t="n"/>
      <c r="B319" s="14" t="n"/>
      <c r="C319" s="14" t="n"/>
      <c r="D319" s="14" t="n"/>
      <c r="E319" s="14" t="n"/>
      <c r="F319" s="15" t="n"/>
      <c r="G319" s="14" t="n"/>
      <c r="H319" s="14" t="n"/>
      <c r="I319" s="14" t="n"/>
      <c r="J319" s="15" t="n"/>
      <c r="K319" s="15">
        <f>IF(AND(ISNUMBER(I319),ISNUMBER(J319)),I319*J319,"")</f>
        <v/>
      </c>
      <c r="L319" s="15">
        <f>IF(AND(F319="",K319=""),"",N(F319)+IF(ISNUMBER(K319),K319,0))</f>
        <v/>
      </c>
      <c r="M319" s="14" t="n"/>
    </row>
    <row r="320">
      <c r="A320" s="13" t="n"/>
      <c r="B320" s="14" t="n"/>
      <c r="C320" s="14" t="n"/>
      <c r="D320" s="14" t="n"/>
      <c r="E320" s="14" t="n"/>
      <c r="F320" s="15" t="n"/>
      <c r="G320" s="14" t="n"/>
      <c r="H320" s="14" t="n"/>
      <c r="I320" s="14" t="n"/>
      <c r="J320" s="15" t="n"/>
      <c r="K320" s="15">
        <f>IF(AND(ISNUMBER(I320),ISNUMBER(J320)),I320*J320,"")</f>
        <v/>
      </c>
      <c r="L320" s="15">
        <f>IF(AND(F320="",K320=""),"",N(F320)+IF(ISNUMBER(K320),K320,0))</f>
        <v/>
      </c>
      <c r="M320" s="14" t="n"/>
    </row>
    <row r="321">
      <c r="A321" s="13" t="n"/>
      <c r="B321" s="14" t="n"/>
      <c r="C321" s="14" t="n"/>
      <c r="D321" s="14" t="n"/>
      <c r="E321" s="14" t="n"/>
      <c r="F321" s="15" t="n"/>
      <c r="G321" s="14" t="n"/>
      <c r="H321" s="14" t="n"/>
      <c r="I321" s="14" t="n"/>
      <c r="J321" s="15" t="n"/>
      <c r="K321" s="15">
        <f>IF(AND(ISNUMBER(I321),ISNUMBER(J321)),I321*J321,"")</f>
        <v/>
      </c>
      <c r="L321" s="15">
        <f>IF(AND(F321="",K321=""),"",N(F321)+IF(ISNUMBER(K321),K321,0))</f>
        <v/>
      </c>
      <c r="M321" s="14" t="n"/>
    </row>
    <row r="322">
      <c r="A322" s="13" t="n"/>
      <c r="B322" s="14" t="n"/>
      <c r="C322" s="14" t="n"/>
      <c r="D322" s="14" t="n"/>
      <c r="E322" s="14" t="n"/>
      <c r="F322" s="15" t="n"/>
      <c r="G322" s="14" t="n"/>
      <c r="H322" s="14" t="n"/>
      <c r="I322" s="14" t="n"/>
      <c r="J322" s="15" t="n"/>
      <c r="K322" s="15">
        <f>IF(AND(ISNUMBER(I322),ISNUMBER(J322)),I322*J322,"")</f>
        <v/>
      </c>
      <c r="L322" s="15">
        <f>IF(AND(F322="",K322=""),"",N(F322)+IF(ISNUMBER(K322),K322,0))</f>
        <v/>
      </c>
      <c r="M322" s="14" t="n"/>
    </row>
    <row r="323">
      <c r="A323" s="13" t="n"/>
      <c r="B323" s="14" t="n"/>
      <c r="C323" s="14" t="n"/>
      <c r="D323" s="14" t="n"/>
      <c r="E323" s="14" t="n"/>
      <c r="F323" s="15" t="n"/>
      <c r="G323" s="14" t="n"/>
      <c r="H323" s="14" t="n"/>
      <c r="I323" s="14" t="n"/>
      <c r="J323" s="15" t="n"/>
      <c r="K323" s="15">
        <f>IF(AND(ISNUMBER(I323),ISNUMBER(J323)),I323*J323,"")</f>
        <v/>
      </c>
      <c r="L323" s="15">
        <f>IF(AND(F323="",K323=""),"",N(F323)+IF(ISNUMBER(K323),K323,0))</f>
        <v/>
      </c>
      <c r="M323" s="14" t="n"/>
    </row>
    <row r="324">
      <c r="A324" s="13" t="n"/>
      <c r="B324" s="14" t="n"/>
      <c r="C324" s="14" t="n"/>
      <c r="D324" s="14" t="n"/>
      <c r="E324" s="14" t="n"/>
      <c r="F324" s="15" t="n"/>
      <c r="G324" s="14" t="n"/>
      <c r="H324" s="14" t="n"/>
      <c r="I324" s="14" t="n"/>
      <c r="J324" s="15" t="n"/>
      <c r="K324" s="15">
        <f>IF(AND(ISNUMBER(I324),ISNUMBER(J324)),I324*J324,"")</f>
        <v/>
      </c>
      <c r="L324" s="15">
        <f>IF(AND(F324="",K324=""),"",N(F324)+IF(ISNUMBER(K324),K324,0))</f>
        <v/>
      </c>
      <c r="M324" s="14" t="n"/>
    </row>
    <row r="325">
      <c r="A325" s="13" t="n"/>
      <c r="B325" s="14" t="n"/>
      <c r="C325" s="14" t="n"/>
      <c r="D325" s="14" t="n"/>
      <c r="E325" s="14" t="n"/>
      <c r="F325" s="15" t="n"/>
      <c r="G325" s="14" t="n"/>
      <c r="H325" s="14" t="n"/>
      <c r="I325" s="14" t="n"/>
      <c r="J325" s="15" t="n"/>
      <c r="K325" s="15">
        <f>IF(AND(ISNUMBER(I325),ISNUMBER(J325)),I325*J325,"")</f>
        <v/>
      </c>
      <c r="L325" s="15">
        <f>IF(AND(F325="",K325=""),"",N(F325)+IF(ISNUMBER(K325),K325,0))</f>
        <v/>
      </c>
      <c r="M325" s="14" t="n"/>
    </row>
    <row r="326">
      <c r="A326" s="13" t="n"/>
      <c r="B326" s="14" t="n"/>
      <c r="C326" s="14" t="n"/>
      <c r="D326" s="14" t="n"/>
      <c r="E326" s="14" t="n"/>
      <c r="F326" s="15" t="n"/>
      <c r="G326" s="14" t="n"/>
      <c r="H326" s="14" t="n"/>
      <c r="I326" s="14" t="n"/>
      <c r="J326" s="15" t="n"/>
      <c r="K326" s="15">
        <f>IF(AND(ISNUMBER(I326),ISNUMBER(J326)),I326*J326,"")</f>
        <v/>
      </c>
      <c r="L326" s="15">
        <f>IF(AND(F326="",K326=""),"",N(F326)+IF(ISNUMBER(K326),K326,0))</f>
        <v/>
      </c>
      <c r="M326" s="14" t="n"/>
    </row>
    <row r="327">
      <c r="A327" s="13" t="n"/>
      <c r="B327" s="14" t="n"/>
      <c r="C327" s="14" t="n"/>
      <c r="D327" s="14" t="n"/>
      <c r="E327" s="14" t="n"/>
      <c r="F327" s="15" t="n"/>
      <c r="G327" s="14" t="n"/>
      <c r="H327" s="14" t="n"/>
      <c r="I327" s="14" t="n"/>
      <c r="J327" s="15" t="n"/>
      <c r="K327" s="15">
        <f>IF(AND(ISNUMBER(I327),ISNUMBER(J327)),I327*J327,"")</f>
        <v/>
      </c>
      <c r="L327" s="15">
        <f>IF(AND(F327="",K327=""),"",N(F327)+IF(ISNUMBER(K327),K327,0))</f>
        <v/>
      </c>
      <c r="M327" s="14" t="n"/>
    </row>
    <row r="328">
      <c r="A328" s="13" t="n"/>
      <c r="B328" s="14" t="n"/>
      <c r="C328" s="14" t="n"/>
      <c r="D328" s="14" t="n"/>
      <c r="E328" s="14" t="n"/>
      <c r="F328" s="15" t="n"/>
      <c r="G328" s="14" t="n"/>
      <c r="H328" s="14" t="n"/>
      <c r="I328" s="14" t="n"/>
      <c r="J328" s="15" t="n"/>
      <c r="K328" s="15">
        <f>IF(AND(ISNUMBER(I328),ISNUMBER(J328)),I328*J328,"")</f>
        <v/>
      </c>
      <c r="L328" s="15">
        <f>IF(AND(F328="",K328=""),"",N(F328)+IF(ISNUMBER(K328),K328,0))</f>
        <v/>
      </c>
      <c r="M328" s="14" t="n"/>
    </row>
    <row r="329">
      <c r="A329" s="13" t="n"/>
      <c r="B329" s="14" t="n"/>
      <c r="C329" s="14" t="n"/>
      <c r="D329" s="14" t="n"/>
      <c r="E329" s="14" t="n"/>
      <c r="F329" s="15" t="n"/>
      <c r="G329" s="14" t="n"/>
      <c r="H329" s="14" t="n"/>
      <c r="I329" s="14" t="n"/>
      <c r="J329" s="15" t="n"/>
      <c r="K329" s="15">
        <f>IF(AND(ISNUMBER(I329),ISNUMBER(J329)),I329*J329,"")</f>
        <v/>
      </c>
      <c r="L329" s="15">
        <f>IF(AND(F329="",K329=""),"",N(F329)+IF(ISNUMBER(K329),K329,0))</f>
        <v/>
      </c>
      <c r="M329" s="14" t="n"/>
    </row>
    <row r="330">
      <c r="A330" s="13" t="n"/>
      <c r="B330" s="14" t="n"/>
      <c r="C330" s="14" t="n"/>
      <c r="D330" s="14" t="n"/>
      <c r="E330" s="14" t="n"/>
      <c r="F330" s="15" t="n"/>
      <c r="G330" s="14" t="n"/>
      <c r="H330" s="14" t="n"/>
      <c r="I330" s="14" t="n"/>
      <c r="J330" s="15" t="n"/>
      <c r="K330" s="15">
        <f>IF(AND(ISNUMBER(I330),ISNUMBER(J330)),I330*J330,"")</f>
        <v/>
      </c>
      <c r="L330" s="15">
        <f>IF(AND(F330="",K330=""),"",N(F330)+IF(ISNUMBER(K330),K330,0))</f>
        <v/>
      </c>
      <c r="M330" s="14" t="n"/>
    </row>
    <row r="331">
      <c r="A331" s="13" t="n"/>
      <c r="B331" s="14" t="n"/>
      <c r="C331" s="14" t="n"/>
      <c r="D331" s="14" t="n"/>
      <c r="E331" s="14" t="n"/>
      <c r="F331" s="15" t="n"/>
      <c r="G331" s="14" t="n"/>
      <c r="H331" s="14" t="n"/>
      <c r="I331" s="14" t="n"/>
      <c r="J331" s="15" t="n"/>
      <c r="K331" s="15">
        <f>IF(AND(ISNUMBER(I331),ISNUMBER(J331)),I331*J331,"")</f>
        <v/>
      </c>
      <c r="L331" s="15">
        <f>IF(AND(F331="",K331=""),"",N(F331)+IF(ISNUMBER(K331),K331,0))</f>
        <v/>
      </c>
      <c r="M331" s="14" t="n"/>
    </row>
    <row r="332">
      <c r="A332" s="13" t="n"/>
      <c r="B332" s="14" t="n"/>
      <c r="C332" s="14" t="n"/>
      <c r="D332" s="14" t="n"/>
      <c r="E332" s="14" t="n"/>
      <c r="F332" s="15" t="n"/>
      <c r="G332" s="14" t="n"/>
      <c r="H332" s="14" t="n"/>
      <c r="I332" s="14" t="n"/>
      <c r="J332" s="15" t="n"/>
      <c r="K332" s="15">
        <f>IF(AND(ISNUMBER(I332),ISNUMBER(J332)),I332*J332,"")</f>
        <v/>
      </c>
      <c r="L332" s="15">
        <f>IF(AND(F332="",K332=""),"",N(F332)+IF(ISNUMBER(K332),K332,0))</f>
        <v/>
      </c>
      <c r="M332" s="14" t="n"/>
    </row>
    <row r="333">
      <c r="A333" s="13" t="n"/>
      <c r="B333" s="14" t="n"/>
      <c r="C333" s="14" t="n"/>
      <c r="D333" s="14" t="n"/>
      <c r="E333" s="14" t="n"/>
      <c r="F333" s="15" t="n"/>
      <c r="G333" s="14" t="n"/>
      <c r="H333" s="14" t="n"/>
      <c r="I333" s="14" t="n"/>
      <c r="J333" s="15" t="n"/>
      <c r="K333" s="15">
        <f>IF(AND(ISNUMBER(I333),ISNUMBER(J333)),I333*J333,"")</f>
        <v/>
      </c>
      <c r="L333" s="15">
        <f>IF(AND(F333="",K333=""),"",N(F333)+IF(ISNUMBER(K333),K333,0))</f>
        <v/>
      </c>
      <c r="M333" s="14" t="n"/>
    </row>
    <row r="334">
      <c r="A334" s="13" t="n"/>
      <c r="B334" s="14" t="n"/>
      <c r="C334" s="14" t="n"/>
      <c r="D334" s="14" t="n"/>
      <c r="E334" s="14" t="n"/>
      <c r="F334" s="15" t="n"/>
      <c r="G334" s="14" t="n"/>
      <c r="H334" s="14" t="n"/>
      <c r="I334" s="14" t="n"/>
      <c r="J334" s="15" t="n"/>
      <c r="K334" s="15">
        <f>IF(AND(ISNUMBER(I334),ISNUMBER(J334)),I334*J334,"")</f>
        <v/>
      </c>
      <c r="L334" s="15">
        <f>IF(AND(F334="",K334=""),"",N(F334)+IF(ISNUMBER(K334),K334,0))</f>
        <v/>
      </c>
      <c r="M334" s="14" t="n"/>
    </row>
    <row r="335">
      <c r="A335" s="13" t="n"/>
      <c r="B335" s="14" t="n"/>
      <c r="C335" s="14" t="n"/>
      <c r="D335" s="14" t="n"/>
      <c r="E335" s="14" t="n"/>
      <c r="F335" s="15" t="n"/>
      <c r="G335" s="14" t="n"/>
      <c r="H335" s="14" t="n"/>
      <c r="I335" s="14" t="n"/>
      <c r="J335" s="15" t="n"/>
      <c r="K335" s="15">
        <f>IF(AND(ISNUMBER(I335),ISNUMBER(J335)),I335*J335,"")</f>
        <v/>
      </c>
      <c r="L335" s="15">
        <f>IF(AND(F335="",K335=""),"",N(F335)+IF(ISNUMBER(K335),K335,0))</f>
        <v/>
      </c>
      <c r="M335" s="14" t="n"/>
    </row>
    <row r="336">
      <c r="A336" s="13" t="n"/>
      <c r="B336" s="14" t="n"/>
      <c r="C336" s="14" t="n"/>
      <c r="D336" s="14" t="n"/>
      <c r="E336" s="14" t="n"/>
      <c r="F336" s="15" t="n"/>
      <c r="G336" s="14" t="n"/>
      <c r="H336" s="14" t="n"/>
      <c r="I336" s="14" t="n"/>
      <c r="J336" s="15" t="n"/>
      <c r="K336" s="15">
        <f>IF(AND(ISNUMBER(I336),ISNUMBER(J336)),I336*J336,"")</f>
        <v/>
      </c>
      <c r="L336" s="15">
        <f>IF(AND(F336="",K336=""),"",N(F336)+IF(ISNUMBER(K336),K336,0))</f>
        <v/>
      </c>
      <c r="M336" s="14" t="n"/>
    </row>
    <row r="337">
      <c r="A337" s="13" t="n"/>
      <c r="B337" s="14" t="n"/>
      <c r="C337" s="14" t="n"/>
      <c r="D337" s="14" t="n"/>
      <c r="E337" s="14" t="n"/>
      <c r="F337" s="15" t="n"/>
      <c r="G337" s="14" t="n"/>
      <c r="H337" s="14" t="n"/>
      <c r="I337" s="14" t="n"/>
      <c r="J337" s="15" t="n"/>
      <c r="K337" s="15">
        <f>IF(AND(ISNUMBER(I337),ISNUMBER(J337)),I337*J337,"")</f>
        <v/>
      </c>
      <c r="L337" s="15">
        <f>IF(AND(F337="",K337=""),"",N(F337)+IF(ISNUMBER(K337),K337,0))</f>
        <v/>
      </c>
      <c r="M337" s="14" t="n"/>
    </row>
    <row r="338">
      <c r="A338" s="13" t="n"/>
      <c r="B338" s="14" t="n"/>
      <c r="C338" s="14" t="n"/>
      <c r="D338" s="14" t="n"/>
      <c r="E338" s="14" t="n"/>
      <c r="F338" s="15" t="n"/>
      <c r="G338" s="14" t="n"/>
      <c r="H338" s="14" t="n"/>
      <c r="I338" s="14" t="n"/>
      <c r="J338" s="15" t="n"/>
      <c r="K338" s="15">
        <f>IF(AND(ISNUMBER(I338),ISNUMBER(J338)),I338*J338,"")</f>
        <v/>
      </c>
      <c r="L338" s="15">
        <f>IF(AND(F338="",K338=""),"",N(F338)+IF(ISNUMBER(K338),K338,0))</f>
        <v/>
      </c>
      <c r="M338" s="14" t="n"/>
    </row>
    <row r="339">
      <c r="A339" s="13" t="n"/>
      <c r="B339" s="14" t="n"/>
      <c r="C339" s="14" t="n"/>
      <c r="D339" s="14" t="n"/>
      <c r="E339" s="14" t="n"/>
      <c r="F339" s="15" t="n"/>
      <c r="G339" s="14" t="n"/>
      <c r="H339" s="14" t="n"/>
      <c r="I339" s="14" t="n"/>
      <c r="J339" s="15" t="n"/>
      <c r="K339" s="15">
        <f>IF(AND(ISNUMBER(I339),ISNUMBER(J339)),I339*J339,"")</f>
        <v/>
      </c>
      <c r="L339" s="15">
        <f>IF(AND(F339="",K339=""),"",N(F339)+IF(ISNUMBER(K339),K339,0))</f>
        <v/>
      </c>
      <c r="M339" s="14" t="n"/>
    </row>
    <row r="340">
      <c r="A340" s="13" t="n"/>
      <c r="B340" s="14" t="n"/>
      <c r="C340" s="14" t="n"/>
      <c r="D340" s="14" t="n"/>
      <c r="E340" s="14" t="n"/>
      <c r="F340" s="15" t="n"/>
      <c r="G340" s="14" t="n"/>
      <c r="H340" s="14" t="n"/>
      <c r="I340" s="14" t="n"/>
      <c r="J340" s="15" t="n"/>
      <c r="K340" s="15">
        <f>IF(AND(ISNUMBER(I340),ISNUMBER(J340)),I340*J340,"")</f>
        <v/>
      </c>
      <c r="L340" s="15">
        <f>IF(AND(F340="",K340=""),"",N(F340)+IF(ISNUMBER(K340),K340,0))</f>
        <v/>
      </c>
      <c r="M340" s="14" t="n"/>
    </row>
    <row r="341">
      <c r="A341" s="13" t="n"/>
      <c r="B341" s="14" t="n"/>
      <c r="C341" s="14" t="n"/>
      <c r="D341" s="14" t="n"/>
      <c r="E341" s="14" t="n"/>
      <c r="F341" s="15" t="n"/>
      <c r="G341" s="14" t="n"/>
      <c r="H341" s="14" t="n"/>
      <c r="I341" s="14" t="n"/>
      <c r="J341" s="15" t="n"/>
      <c r="K341" s="15">
        <f>IF(AND(ISNUMBER(I341),ISNUMBER(J341)),I341*J341,"")</f>
        <v/>
      </c>
      <c r="L341" s="15">
        <f>IF(AND(F341="",K341=""),"",N(F341)+IF(ISNUMBER(K341),K341,0))</f>
        <v/>
      </c>
      <c r="M341" s="14" t="n"/>
    </row>
    <row r="342">
      <c r="A342" s="13" t="n"/>
      <c r="B342" s="14" t="n"/>
      <c r="C342" s="14" t="n"/>
      <c r="D342" s="14" t="n"/>
      <c r="E342" s="14" t="n"/>
      <c r="F342" s="15" t="n"/>
      <c r="G342" s="14" t="n"/>
      <c r="H342" s="14" t="n"/>
      <c r="I342" s="14" t="n"/>
      <c r="J342" s="15" t="n"/>
      <c r="K342" s="15">
        <f>IF(AND(ISNUMBER(I342),ISNUMBER(J342)),I342*J342,"")</f>
        <v/>
      </c>
      <c r="L342" s="15">
        <f>IF(AND(F342="",K342=""),"",N(F342)+IF(ISNUMBER(K342),K342,0))</f>
        <v/>
      </c>
      <c r="M342" s="14" t="n"/>
    </row>
    <row r="343">
      <c r="A343" s="13" t="n"/>
      <c r="B343" s="14" t="n"/>
      <c r="C343" s="14" t="n"/>
      <c r="D343" s="14" t="n"/>
      <c r="E343" s="14" t="n"/>
      <c r="F343" s="15" t="n"/>
      <c r="G343" s="14" t="n"/>
      <c r="H343" s="14" t="n"/>
      <c r="I343" s="14" t="n"/>
      <c r="J343" s="15" t="n"/>
      <c r="K343" s="15">
        <f>IF(AND(ISNUMBER(I343),ISNUMBER(J343)),I343*J343,"")</f>
        <v/>
      </c>
      <c r="L343" s="15">
        <f>IF(AND(F343="",K343=""),"",N(F343)+IF(ISNUMBER(K343),K343,0))</f>
        <v/>
      </c>
      <c r="M343" s="14" t="n"/>
    </row>
    <row r="344">
      <c r="A344" s="13" t="n"/>
      <c r="B344" s="14" t="n"/>
      <c r="C344" s="14" t="n"/>
      <c r="D344" s="14" t="n"/>
      <c r="E344" s="14" t="n"/>
      <c r="F344" s="15" t="n"/>
      <c r="G344" s="14" t="n"/>
      <c r="H344" s="14" t="n"/>
      <c r="I344" s="14" t="n"/>
      <c r="J344" s="15" t="n"/>
      <c r="K344" s="15">
        <f>IF(AND(ISNUMBER(I344),ISNUMBER(J344)),I344*J344,"")</f>
        <v/>
      </c>
      <c r="L344" s="15">
        <f>IF(AND(F344="",K344=""),"",N(F344)+IF(ISNUMBER(K344),K344,0))</f>
        <v/>
      </c>
      <c r="M344" s="14" t="n"/>
    </row>
    <row r="345">
      <c r="A345" s="13" t="n"/>
      <c r="B345" s="14" t="n"/>
      <c r="C345" s="14" t="n"/>
      <c r="D345" s="14" t="n"/>
      <c r="E345" s="14" t="n"/>
      <c r="F345" s="15" t="n"/>
      <c r="G345" s="14" t="n"/>
      <c r="H345" s="14" t="n"/>
      <c r="I345" s="14" t="n"/>
      <c r="J345" s="15" t="n"/>
      <c r="K345" s="15">
        <f>IF(AND(ISNUMBER(I345),ISNUMBER(J345)),I345*J345,"")</f>
        <v/>
      </c>
      <c r="L345" s="15">
        <f>IF(AND(F345="",K345=""),"",N(F345)+IF(ISNUMBER(K345),K345,0))</f>
        <v/>
      </c>
      <c r="M345" s="14" t="n"/>
    </row>
    <row r="346">
      <c r="A346" s="13" t="n"/>
      <c r="B346" s="14" t="n"/>
      <c r="C346" s="14" t="n"/>
      <c r="D346" s="14" t="n"/>
      <c r="E346" s="14" t="n"/>
      <c r="F346" s="15" t="n"/>
      <c r="G346" s="14" t="n"/>
      <c r="H346" s="14" t="n"/>
      <c r="I346" s="14" t="n"/>
      <c r="J346" s="15" t="n"/>
      <c r="K346" s="15">
        <f>IF(AND(ISNUMBER(I346),ISNUMBER(J346)),I346*J346,"")</f>
        <v/>
      </c>
      <c r="L346" s="15">
        <f>IF(AND(F346="",K346=""),"",N(F346)+IF(ISNUMBER(K346),K346,0))</f>
        <v/>
      </c>
      <c r="M346" s="14" t="n"/>
    </row>
    <row r="347">
      <c r="A347" s="13" t="n"/>
      <c r="B347" s="14" t="n"/>
      <c r="C347" s="14" t="n"/>
      <c r="D347" s="14" t="n"/>
      <c r="E347" s="14" t="n"/>
      <c r="F347" s="15" t="n"/>
      <c r="G347" s="14" t="n"/>
      <c r="H347" s="14" t="n"/>
      <c r="I347" s="14" t="n"/>
      <c r="J347" s="15" t="n"/>
      <c r="K347" s="15">
        <f>IF(AND(ISNUMBER(I347),ISNUMBER(J347)),I347*J347,"")</f>
        <v/>
      </c>
      <c r="L347" s="15">
        <f>IF(AND(F347="",K347=""),"",N(F347)+IF(ISNUMBER(K347),K347,0))</f>
        <v/>
      </c>
      <c r="M347" s="14" t="n"/>
    </row>
    <row r="348">
      <c r="A348" s="13" t="n"/>
      <c r="B348" s="14" t="n"/>
      <c r="C348" s="14" t="n"/>
      <c r="D348" s="14" t="n"/>
      <c r="E348" s="14" t="n"/>
      <c r="F348" s="15" t="n"/>
      <c r="G348" s="14" t="n"/>
      <c r="H348" s="14" t="n"/>
      <c r="I348" s="14" t="n"/>
      <c r="J348" s="15" t="n"/>
      <c r="K348" s="15">
        <f>IF(AND(ISNUMBER(I348),ISNUMBER(J348)),I348*J348,"")</f>
        <v/>
      </c>
      <c r="L348" s="15">
        <f>IF(AND(F348="",K348=""),"",N(F348)+IF(ISNUMBER(K348),K348,0))</f>
        <v/>
      </c>
      <c r="M348" s="14" t="n"/>
    </row>
    <row r="349">
      <c r="A349" s="13" t="n"/>
      <c r="B349" s="14" t="n"/>
      <c r="C349" s="14" t="n"/>
      <c r="D349" s="14" t="n"/>
      <c r="E349" s="14" t="n"/>
      <c r="F349" s="15" t="n"/>
      <c r="G349" s="14" t="n"/>
      <c r="H349" s="14" t="n"/>
      <c r="I349" s="14" t="n"/>
      <c r="J349" s="15" t="n"/>
      <c r="K349" s="15">
        <f>IF(AND(ISNUMBER(I349),ISNUMBER(J349)),I349*J349,"")</f>
        <v/>
      </c>
      <c r="L349" s="15">
        <f>IF(AND(F349="",K349=""),"",N(F349)+IF(ISNUMBER(K349),K349,0))</f>
        <v/>
      </c>
      <c r="M349" s="14" t="n"/>
    </row>
    <row r="350">
      <c r="A350" s="13" t="n"/>
      <c r="B350" s="14" t="n"/>
      <c r="C350" s="14" t="n"/>
      <c r="D350" s="14" t="n"/>
      <c r="E350" s="14" t="n"/>
      <c r="F350" s="15" t="n"/>
      <c r="G350" s="14" t="n"/>
      <c r="H350" s="14" t="n"/>
      <c r="I350" s="14" t="n"/>
      <c r="J350" s="15" t="n"/>
      <c r="K350" s="15">
        <f>IF(AND(ISNUMBER(I350),ISNUMBER(J350)),I350*J350,"")</f>
        <v/>
      </c>
      <c r="L350" s="15">
        <f>IF(AND(F350="",K350=""),"",N(F350)+IF(ISNUMBER(K350),K350,0))</f>
        <v/>
      </c>
      <c r="M350" s="14" t="n"/>
    </row>
    <row r="351">
      <c r="A351" s="13" t="n"/>
      <c r="B351" s="14" t="n"/>
      <c r="C351" s="14" t="n"/>
      <c r="D351" s="14" t="n"/>
      <c r="E351" s="14" t="n"/>
      <c r="F351" s="15" t="n"/>
      <c r="G351" s="14" t="n"/>
      <c r="H351" s="14" t="n"/>
      <c r="I351" s="14" t="n"/>
      <c r="J351" s="15" t="n"/>
      <c r="K351" s="15">
        <f>IF(AND(ISNUMBER(I351),ISNUMBER(J351)),I351*J351,"")</f>
        <v/>
      </c>
      <c r="L351" s="15">
        <f>IF(AND(F351="",K351=""),"",N(F351)+IF(ISNUMBER(K351),K351,0))</f>
        <v/>
      </c>
      <c r="M351" s="14" t="n"/>
    </row>
    <row r="352">
      <c r="A352" s="13" t="n"/>
      <c r="B352" s="14" t="n"/>
      <c r="C352" s="14" t="n"/>
      <c r="D352" s="14" t="n"/>
      <c r="E352" s="14" t="n"/>
      <c r="F352" s="15" t="n"/>
      <c r="G352" s="14" t="n"/>
      <c r="H352" s="14" t="n"/>
      <c r="I352" s="14" t="n"/>
      <c r="J352" s="15" t="n"/>
      <c r="K352" s="15">
        <f>IF(AND(ISNUMBER(I352),ISNUMBER(J352)),I352*J352,"")</f>
        <v/>
      </c>
      <c r="L352" s="15">
        <f>IF(AND(F352="",K352=""),"",N(F352)+IF(ISNUMBER(K352),K352,0))</f>
        <v/>
      </c>
      <c r="M352" s="14" t="n"/>
    </row>
    <row r="353">
      <c r="A353" s="13" t="n"/>
      <c r="B353" s="14" t="n"/>
      <c r="C353" s="14" t="n"/>
      <c r="D353" s="14" t="n"/>
      <c r="E353" s="14" t="n"/>
      <c r="F353" s="15" t="n"/>
      <c r="G353" s="14" t="n"/>
      <c r="H353" s="14" t="n"/>
      <c r="I353" s="14" t="n"/>
      <c r="J353" s="15" t="n"/>
      <c r="K353" s="15">
        <f>IF(AND(ISNUMBER(I353),ISNUMBER(J353)),I353*J353,"")</f>
        <v/>
      </c>
      <c r="L353" s="15">
        <f>IF(AND(F353="",K353=""),"",N(F353)+IF(ISNUMBER(K353),K353,0))</f>
        <v/>
      </c>
      <c r="M353" s="14" t="n"/>
    </row>
    <row r="354">
      <c r="A354" s="13" t="n"/>
      <c r="B354" s="14" t="n"/>
      <c r="C354" s="14" t="n"/>
      <c r="D354" s="14" t="n"/>
      <c r="E354" s="14" t="n"/>
      <c r="F354" s="15" t="n"/>
      <c r="G354" s="14" t="n"/>
      <c r="H354" s="14" t="n"/>
      <c r="I354" s="14" t="n"/>
      <c r="J354" s="15" t="n"/>
      <c r="K354" s="15">
        <f>IF(AND(ISNUMBER(I354),ISNUMBER(J354)),I354*J354,"")</f>
        <v/>
      </c>
      <c r="L354" s="15">
        <f>IF(AND(F354="",K354=""),"",N(F354)+IF(ISNUMBER(K354),K354,0))</f>
        <v/>
      </c>
      <c r="M354" s="14" t="n"/>
    </row>
    <row r="355">
      <c r="A355" s="13" t="n"/>
      <c r="B355" s="14" t="n"/>
      <c r="C355" s="14" t="n"/>
      <c r="D355" s="14" t="n"/>
      <c r="E355" s="14" t="n"/>
      <c r="F355" s="15" t="n"/>
      <c r="G355" s="14" t="n"/>
      <c r="H355" s="14" t="n"/>
      <c r="I355" s="14" t="n"/>
      <c r="J355" s="15" t="n"/>
      <c r="K355" s="15">
        <f>IF(AND(ISNUMBER(I355),ISNUMBER(J355)),I355*J355,"")</f>
        <v/>
      </c>
      <c r="L355" s="15">
        <f>IF(AND(F355="",K355=""),"",N(F355)+IF(ISNUMBER(K355),K355,0))</f>
        <v/>
      </c>
      <c r="M355" s="14" t="n"/>
    </row>
    <row r="356">
      <c r="A356" s="13" t="n"/>
      <c r="B356" s="14" t="n"/>
      <c r="C356" s="14" t="n"/>
      <c r="D356" s="14" t="n"/>
      <c r="E356" s="14" t="n"/>
      <c r="F356" s="15" t="n"/>
      <c r="G356" s="14" t="n"/>
      <c r="H356" s="14" t="n"/>
      <c r="I356" s="14" t="n"/>
      <c r="J356" s="15" t="n"/>
      <c r="K356" s="15">
        <f>IF(AND(ISNUMBER(I356),ISNUMBER(J356)),I356*J356,"")</f>
        <v/>
      </c>
      <c r="L356" s="15">
        <f>IF(AND(F356="",K356=""),"",N(F356)+IF(ISNUMBER(K356),K356,0))</f>
        <v/>
      </c>
      <c r="M356" s="14" t="n"/>
    </row>
    <row r="357">
      <c r="A357" s="13" t="n"/>
      <c r="B357" s="14" t="n"/>
      <c r="C357" s="14" t="n"/>
      <c r="D357" s="14" t="n"/>
      <c r="E357" s="14" t="n"/>
      <c r="F357" s="15" t="n"/>
      <c r="G357" s="14" t="n"/>
      <c r="H357" s="14" t="n"/>
      <c r="I357" s="14" t="n"/>
      <c r="J357" s="15" t="n"/>
      <c r="K357" s="15">
        <f>IF(AND(ISNUMBER(I357),ISNUMBER(J357)),I357*J357,"")</f>
        <v/>
      </c>
      <c r="L357" s="15">
        <f>IF(AND(F357="",K357=""),"",N(F357)+IF(ISNUMBER(K357),K357,0))</f>
        <v/>
      </c>
      <c r="M357" s="14" t="n"/>
    </row>
    <row r="358">
      <c r="A358" s="13" t="n"/>
      <c r="B358" s="14" t="n"/>
      <c r="C358" s="14" t="n"/>
      <c r="D358" s="14" t="n"/>
      <c r="E358" s="14" t="n"/>
      <c r="F358" s="15" t="n"/>
      <c r="G358" s="14" t="n"/>
      <c r="H358" s="14" t="n"/>
      <c r="I358" s="14" t="n"/>
      <c r="J358" s="15" t="n"/>
      <c r="K358" s="15">
        <f>IF(AND(ISNUMBER(I358),ISNUMBER(J358)),I358*J358,"")</f>
        <v/>
      </c>
      <c r="L358" s="15">
        <f>IF(AND(F358="",K358=""),"",N(F358)+IF(ISNUMBER(K358),K358,0))</f>
        <v/>
      </c>
      <c r="M358" s="14" t="n"/>
    </row>
    <row r="359">
      <c r="A359" s="13" t="n"/>
      <c r="B359" s="14" t="n"/>
      <c r="C359" s="14" t="n"/>
      <c r="D359" s="14" t="n"/>
      <c r="E359" s="14" t="n"/>
      <c r="F359" s="15" t="n"/>
      <c r="G359" s="14" t="n"/>
      <c r="H359" s="14" t="n"/>
      <c r="I359" s="14" t="n"/>
      <c r="J359" s="15" t="n"/>
      <c r="K359" s="15">
        <f>IF(AND(ISNUMBER(I359),ISNUMBER(J359)),I359*J359,"")</f>
        <v/>
      </c>
      <c r="L359" s="15">
        <f>IF(AND(F359="",K359=""),"",N(F359)+IF(ISNUMBER(K359),K359,0))</f>
        <v/>
      </c>
      <c r="M359" s="14" t="n"/>
    </row>
    <row r="360">
      <c r="A360" s="13" t="n"/>
      <c r="B360" s="14" t="n"/>
      <c r="C360" s="14" t="n"/>
      <c r="D360" s="14" t="n"/>
      <c r="E360" s="14" t="n"/>
      <c r="F360" s="15" t="n"/>
      <c r="G360" s="14" t="n"/>
      <c r="H360" s="14" t="n"/>
      <c r="I360" s="14" t="n"/>
      <c r="J360" s="15" t="n"/>
      <c r="K360" s="15">
        <f>IF(AND(ISNUMBER(I360),ISNUMBER(J360)),I360*J360,"")</f>
        <v/>
      </c>
      <c r="L360" s="15">
        <f>IF(AND(F360="",K360=""),"",N(F360)+IF(ISNUMBER(K360),K360,0))</f>
        <v/>
      </c>
      <c r="M360" s="14" t="n"/>
    </row>
    <row r="361">
      <c r="A361" s="13" t="n"/>
      <c r="B361" s="14" t="n"/>
      <c r="C361" s="14" t="n"/>
      <c r="D361" s="14" t="n"/>
      <c r="E361" s="14" t="n"/>
      <c r="F361" s="15" t="n"/>
      <c r="G361" s="14" t="n"/>
      <c r="H361" s="14" t="n"/>
      <c r="I361" s="14" t="n"/>
      <c r="J361" s="15" t="n"/>
      <c r="K361" s="15">
        <f>IF(AND(ISNUMBER(I361),ISNUMBER(J361)),I361*J361,"")</f>
        <v/>
      </c>
      <c r="L361" s="15">
        <f>IF(AND(F361="",K361=""),"",N(F361)+IF(ISNUMBER(K361),K361,0))</f>
        <v/>
      </c>
      <c r="M361" s="14" t="n"/>
    </row>
    <row r="362">
      <c r="A362" s="13" t="n"/>
      <c r="B362" s="14" t="n"/>
      <c r="C362" s="14" t="n"/>
      <c r="D362" s="14" t="n"/>
      <c r="E362" s="14" t="n"/>
      <c r="F362" s="15" t="n"/>
      <c r="G362" s="14" t="n"/>
      <c r="H362" s="14" t="n"/>
      <c r="I362" s="14" t="n"/>
      <c r="J362" s="15" t="n"/>
      <c r="K362" s="15">
        <f>IF(AND(ISNUMBER(I362),ISNUMBER(J362)),I362*J362,"")</f>
        <v/>
      </c>
      <c r="L362" s="15">
        <f>IF(AND(F362="",K362=""),"",N(F362)+IF(ISNUMBER(K362),K362,0))</f>
        <v/>
      </c>
      <c r="M362" s="14" t="n"/>
    </row>
    <row r="363">
      <c r="A363" s="13" t="n"/>
      <c r="B363" s="14" t="n"/>
      <c r="C363" s="14" t="n"/>
      <c r="D363" s="14" t="n"/>
      <c r="E363" s="14" t="n"/>
      <c r="F363" s="15" t="n"/>
      <c r="G363" s="14" t="n"/>
      <c r="H363" s="14" t="n"/>
      <c r="I363" s="14" t="n"/>
      <c r="J363" s="15" t="n"/>
      <c r="K363" s="15">
        <f>IF(AND(ISNUMBER(I363),ISNUMBER(J363)),I363*J363,"")</f>
        <v/>
      </c>
      <c r="L363" s="15">
        <f>IF(AND(F363="",K363=""),"",N(F363)+IF(ISNUMBER(K363),K363,0))</f>
        <v/>
      </c>
      <c r="M363" s="14" t="n"/>
    </row>
    <row r="364">
      <c r="A364" s="13" t="n"/>
      <c r="B364" s="14" t="n"/>
      <c r="C364" s="14" t="n"/>
      <c r="D364" s="14" t="n"/>
      <c r="E364" s="14" t="n"/>
      <c r="F364" s="15" t="n"/>
      <c r="G364" s="14" t="n"/>
      <c r="H364" s="14" t="n"/>
      <c r="I364" s="14" t="n"/>
      <c r="J364" s="15" t="n"/>
      <c r="K364" s="15">
        <f>IF(AND(ISNUMBER(I364),ISNUMBER(J364)),I364*J364,"")</f>
        <v/>
      </c>
      <c r="L364" s="15">
        <f>IF(AND(F364="",K364=""),"",N(F364)+IF(ISNUMBER(K364),K364,0))</f>
        <v/>
      </c>
      <c r="M364" s="14" t="n"/>
    </row>
    <row r="365">
      <c r="A365" s="13" t="n"/>
      <c r="B365" s="14" t="n"/>
      <c r="C365" s="14" t="n"/>
      <c r="D365" s="14" t="n"/>
      <c r="E365" s="14" t="n"/>
      <c r="F365" s="15" t="n"/>
      <c r="G365" s="14" t="n"/>
      <c r="H365" s="14" t="n"/>
      <c r="I365" s="14" t="n"/>
      <c r="J365" s="15" t="n"/>
      <c r="K365" s="15">
        <f>IF(AND(ISNUMBER(I365),ISNUMBER(J365)),I365*J365,"")</f>
        <v/>
      </c>
      <c r="L365" s="15">
        <f>IF(AND(F365="",K365=""),"",N(F365)+IF(ISNUMBER(K365),K365,0))</f>
        <v/>
      </c>
      <c r="M365" s="14" t="n"/>
    </row>
    <row r="366">
      <c r="A366" s="13" t="n"/>
      <c r="B366" s="14" t="n"/>
      <c r="C366" s="14" t="n"/>
      <c r="D366" s="14" t="n"/>
      <c r="E366" s="14" t="n"/>
      <c r="F366" s="15" t="n"/>
      <c r="G366" s="14" t="n"/>
      <c r="H366" s="14" t="n"/>
      <c r="I366" s="14" t="n"/>
      <c r="J366" s="15" t="n"/>
      <c r="K366" s="15">
        <f>IF(AND(ISNUMBER(I366),ISNUMBER(J366)),I366*J366,"")</f>
        <v/>
      </c>
      <c r="L366" s="15">
        <f>IF(AND(F366="",K366=""),"",N(F366)+IF(ISNUMBER(K366),K366,0))</f>
        <v/>
      </c>
      <c r="M366" s="14" t="n"/>
    </row>
    <row r="367">
      <c r="A367" s="13" t="n"/>
      <c r="B367" s="14" t="n"/>
      <c r="C367" s="14" t="n"/>
      <c r="D367" s="14" t="n"/>
      <c r="E367" s="14" t="n"/>
      <c r="F367" s="15" t="n"/>
      <c r="G367" s="14" t="n"/>
      <c r="H367" s="14" t="n"/>
      <c r="I367" s="14" t="n"/>
      <c r="J367" s="15" t="n"/>
      <c r="K367" s="15">
        <f>IF(AND(ISNUMBER(I367),ISNUMBER(J367)),I367*J367,"")</f>
        <v/>
      </c>
      <c r="L367" s="15">
        <f>IF(AND(F367="",K367=""),"",N(F367)+IF(ISNUMBER(K367),K367,0))</f>
        <v/>
      </c>
      <c r="M367" s="14" t="n"/>
    </row>
    <row r="368">
      <c r="A368" s="13" t="n"/>
      <c r="B368" s="14" t="n"/>
      <c r="C368" s="14" t="n"/>
      <c r="D368" s="14" t="n"/>
      <c r="E368" s="14" t="n"/>
      <c r="F368" s="15" t="n"/>
      <c r="G368" s="14" t="n"/>
      <c r="H368" s="14" t="n"/>
      <c r="I368" s="14" t="n"/>
      <c r="J368" s="15" t="n"/>
      <c r="K368" s="15">
        <f>IF(AND(ISNUMBER(I368),ISNUMBER(J368)),I368*J368,"")</f>
        <v/>
      </c>
      <c r="L368" s="15">
        <f>IF(AND(F368="",K368=""),"",N(F368)+IF(ISNUMBER(K368),K368,0))</f>
        <v/>
      </c>
      <c r="M368" s="14" t="n"/>
    </row>
    <row r="369">
      <c r="A369" s="13" t="n"/>
      <c r="B369" s="14" t="n"/>
      <c r="C369" s="14" t="n"/>
      <c r="D369" s="14" t="n"/>
      <c r="E369" s="14" t="n"/>
      <c r="F369" s="15" t="n"/>
      <c r="G369" s="14" t="n"/>
      <c r="H369" s="14" t="n"/>
      <c r="I369" s="14" t="n"/>
      <c r="J369" s="15" t="n"/>
      <c r="K369" s="15">
        <f>IF(AND(ISNUMBER(I369),ISNUMBER(J369)),I369*J369,"")</f>
        <v/>
      </c>
      <c r="L369" s="15">
        <f>IF(AND(F369="",K369=""),"",N(F369)+IF(ISNUMBER(K369),K369,0))</f>
        <v/>
      </c>
      <c r="M369" s="14" t="n"/>
    </row>
    <row r="370">
      <c r="A370" s="13" t="n"/>
      <c r="B370" s="14" t="n"/>
      <c r="C370" s="14" t="n"/>
      <c r="D370" s="14" t="n"/>
      <c r="E370" s="14" t="n"/>
      <c r="F370" s="15" t="n"/>
      <c r="G370" s="14" t="n"/>
      <c r="H370" s="14" t="n"/>
      <c r="I370" s="14" t="n"/>
      <c r="J370" s="15" t="n"/>
      <c r="K370" s="15">
        <f>IF(AND(ISNUMBER(I370),ISNUMBER(J370)),I370*J370,"")</f>
        <v/>
      </c>
      <c r="L370" s="15">
        <f>IF(AND(F370="",K370=""),"",N(F370)+IF(ISNUMBER(K370),K370,0))</f>
        <v/>
      </c>
      <c r="M370" s="14" t="n"/>
    </row>
    <row r="371">
      <c r="A371" s="13" t="n"/>
      <c r="B371" s="14" t="n"/>
      <c r="C371" s="14" t="n"/>
      <c r="D371" s="14" t="n"/>
      <c r="E371" s="14" t="n"/>
      <c r="F371" s="15" t="n"/>
      <c r="G371" s="14" t="n"/>
      <c r="H371" s="14" t="n"/>
      <c r="I371" s="14" t="n"/>
      <c r="J371" s="15" t="n"/>
      <c r="K371" s="15">
        <f>IF(AND(ISNUMBER(I371),ISNUMBER(J371)),I371*J371,"")</f>
        <v/>
      </c>
      <c r="L371" s="15">
        <f>IF(AND(F371="",K371=""),"",N(F371)+IF(ISNUMBER(K371),K371,0))</f>
        <v/>
      </c>
      <c r="M371" s="14" t="n"/>
    </row>
    <row r="372">
      <c r="A372" s="13" t="n"/>
      <c r="B372" s="14" t="n"/>
      <c r="C372" s="14" t="n"/>
      <c r="D372" s="14" t="n"/>
      <c r="E372" s="14" t="n"/>
      <c r="F372" s="15" t="n"/>
      <c r="G372" s="14" t="n"/>
      <c r="H372" s="14" t="n"/>
      <c r="I372" s="14" t="n"/>
      <c r="J372" s="15" t="n"/>
      <c r="K372" s="15">
        <f>IF(AND(ISNUMBER(I372),ISNUMBER(J372)),I372*J372,"")</f>
        <v/>
      </c>
      <c r="L372" s="15">
        <f>IF(AND(F372="",K372=""),"",N(F372)+IF(ISNUMBER(K372),K372,0))</f>
        <v/>
      </c>
      <c r="M372" s="14" t="n"/>
    </row>
    <row r="373">
      <c r="A373" s="13" t="n"/>
      <c r="B373" s="14" t="n"/>
      <c r="C373" s="14" t="n"/>
      <c r="D373" s="14" t="n"/>
      <c r="E373" s="14" t="n"/>
      <c r="F373" s="15" t="n"/>
      <c r="G373" s="14" t="n"/>
      <c r="H373" s="14" t="n"/>
      <c r="I373" s="14" t="n"/>
      <c r="J373" s="15" t="n"/>
      <c r="K373" s="15">
        <f>IF(AND(ISNUMBER(I373),ISNUMBER(J373)),I373*J373,"")</f>
        <v/>
      </c>
      <c r="L373" s="15">
        <f>IF(AND(F373="",K373=""),"",N(F373)+IF(ISNUMBER(K373),K373,0))</f>
        <v/>
      </c>
      <c r="M373" s="14" t="n"/>
    </row>
    <row r="374">
      <c r="A374" s="13" t="n"/>
      <c r="B374" s="14" t="n"/>
      <c r="C374" s="14" t="n"/>
      <c r="D374" s="14" t="n"/>
      <c r="E374" s="14" t="n"/>
      <c r="F374" s="15" t="n"/>
      <c r="G374" s="14" t="n"/>
      <c r="H374" s="14" t="n"/>
      <c r="I374" s="14" t="n"/>
      <c r="J374" s="15" t="n"/>
      <c r="K374" s="15">
        <f>IF(AND(ISNUMBER(I374),ISNUMBER(J374)),I374*J374,"")</f>
        <v/>
      </c>
      <c r="L374" s="15">
        <f>IF(AND(F374="",K374=""),"",N(F374)+IF(ISNUMBER(K374),K374,0))</f>
        <v/>
      </c>
      <c r="M374" s="14" t="n"/>
    </row>
    <row r="375">
      <c r="A375" s="13" t="n"/>
      <c r="B375" s="14" t="n"/>
      <c r="C375" s="14" t="n"/>
      <c r="D375" s="14" t="n"/>
      <c r="E375" s="14" t="n"/>
      <c r="F375" s="15" t="n"/>
      <c r="G375" s="14" t="n"/>
      <c r="H375" s="14" t="n"/>
      <c r="I375" s="14" t="n"/>
      <c r="J375" s="15" t="n"/>
      <c r="K375" s="15">
        <f>IF(AND(ISNUMBER(I375),ISNUMBER(J375)),I375*J375,"")</f>
        <v/>
      </c>
      <c r="L375" s="15">
        <f>IF(AND(F375="",K375=""),"",N(F375)+IF(ISNUMBER(K375),K375,0))</f>
        <v/>
      </c>
      <c r="M375" s="14" t="n"/>
    </row>
    <row r="376">
      <c r="A376" s="13" t="n"/>
      <c r="B376" s="14" t="n"/>
      <c r="C376" s="14" t="n"/>
      <c r="D376" s="14" t="n"/>
      <c r="E376" s="14" t="n"/>
      <c r="F376" s="15" t="n"/>
      <c r="G376" s="14" t="n"/>
      <c r="H376" s="14" t="n"/>
      <c r="I376" s="14" t="n"/>
      <c r="J376" s="15" t="n"/>
      <c r="K376" s="15">
        <f>IF(AND(ISNUMBER(I376),ISNUMBER(J376)),I376*J376,"")</f>
        <v/>
      </c>
      <c r="L376" s="15">
        <f>IF(AND(F376="",K376=""),"",N(F376)+IF(ISNUMBER(K376),K376,0))</f>
        <v/>
      </c>
      <c r="M376" s="14" t="n"/>
    </row>
    <row r="377">
      <c r="A377" s="13" t="n"/>
      <c r="B377" s="14" t="n"/>
      <c r="C377" s="14" t="n"/>
      <c r="D377" s="14" t="n"/>
      <c r="E377" s="14" t="n"/>
      <c r="F377" s="15" t="n"/>
      <c r="G377" s="14" t="n"/>
      <c r="H377" s="14" t="n"/>
      <c r="I377" s="14" t="n"/>
      <c r="J377" s="15" t="n"/>
      <c r="K377" s="15">
        <f>IF(AND(ISNUMBER(I377),ISNUMBER(J377)),I377*J377,"")</f>
        <v/>
      </c>
      <c r="L377" s="15">
        <f>IF(AND(F377="",K377=""),"",N(F377)+IF(ISNUMBER(K377),K377,0))</f>
        <v/>
      </c>
      <c r="M377" s="14" t="n"/>
    </row>
    <row r="378">
      <c r="A378" s="13" t="n"/>
      <c r="B378" s="14" t="n"/>
      <c r="C378" s="14" t="n"/>
      <c r="D378" s="14" t="n"/>
      <c r="E378" s="14" t="n"/>
      <c r="F378" s="15" t="n"/>
      <c r="G378" s="14" t="n"/>
      <c r="H378" s="14" t="n"/>
      <c r="I378" s="14" t="n"/>
      <c r="J378" s="15" t="n"/>
      <c r="K378" s="15">
        <f>IF(AND(ISNUMBER(I378),ISNUMBER(J378)),I378*J378,"")</f>
        <v/>
      </c>
      <c r="L378" s="15">
        <f>IF(AND(F378="",K378=""),"",N(F378)+IF(ISNUMBER(K378),K378,0))</f>
        <v/>
      </c>
      <c r="M378" s="14" t="n"/>
    </row>
    <row r="379">
      <c r="A379" s="13" t="n"/>
      <c r="B379" s="14" t="n"/>
      <c r="C379" s="14" t="n"/>
      <c r="D379" s="14" t="n"/>
      <c r="E379" s="14" t="n"/>
      <c r="F379" s="15" t="n"/>
      <c r="G379" s="14" t="n"/>
      <c r="H379" s="14" t="n"/>
      <c r="I379" s="14" t="n"/>
      <c r="J379" s="15" t="n"/>
      <c r="K379" s="15">
        <f>IF(AND(ISNUMBER(I379),ISNUMBER(J379)),I379*J379,"")</f>
        <v/>
      </c>
      <c r="L379" s="15">
        <f>IF(AND(F379="",K379=""),"",N(F379)+IF(ISNUMBER(K379),K379,0))</f>
        <v/>
      </c>
      <c r="M379" s="14" t="n"/>
    </row>
    <row r="380">
      <c r="A380" s="13" t="n"/>
      <c r="B380" s="14" t="n"/>
      <c r="C380" s="14" t="n"/>
      <c r="D380" s="14" t="n"/>
      <c r="E380" s="14" t="n"/>
      <c r="F380" s="15" t="n"/>
      <c r="G380" s="14" t="n"/>
      <c r="H380" s="14" t="n"/>
      <c r="I380" s="14" t="n"/>
      <c r="J380" s="15" t="n"/>
      <c r="K380" s="15">
        <f>IF(AND(ISNUMBER(I380),ISNUMBER(J380)),I380*J380,"")</f>
        <v/>
      </c>
      <c r="L380" s="15">
        <f>IF(AND(F380="",K380=""),"",N(F380)+IF(ISNUMBER(K380),K380,0))</f>
        <v/>
      </c>
      <c r="M380" s="14" t="n"/>
    </row>
    <row r="381">
      <c r="A381" s="13" t="n"/>
      <c r="B381" s="14" t="n"/>
      <c r="C381" s="14" t="n"/>
      <c r="D381" s="14" t="n"/>
      <c r="E381" s="14" t="n"/>
      <c r="F381" s="15" t="n"/>
      <c r="G381" s="14" t="n"/>
      <c r="H381" s="14" t="n"/>
      <c r="I381" s="14" t="n"/>
      <c r="J381" s="15" t="n"/>
      <c r="K381" s="15">
        <f>IF(AND(ISNUMBER(I381),ISNUMBER(J381)),I381*J381,"")</f>
        <v/>
      </c>
      <c r="L381" s="15">
        <f>IF(AND(F381="",K381=""),"",N(F381)+IF(ISNUMBER(K381),K381,0))</f>
        <v/>
      </c>
      <c r="M381" s="14" t="n"/>
    </row>
    <row r="382">
      <c r="A382" s="13" t="n"/>
      <c r="B382" s="14" t="n"/>
      <c r="C382" s="14" t="n"/>
      <c r="D382" s="14" t="n"/>
      <c r="E382" s="14" t="n"/>
      <c r="F382" s="15" t="n"/>
      <c r="G382" s="14" t="n"/>
      <c r="H382" s="14" t="n"/>
      <c r="I382" s="14" t="n"/>
      <c r="J382" s="15" t="n"/>
      <c r="K382" s="15">
        <f>IF(AND(ISNUMBER(I382),ISNUMBER(J382)),I382*J382,"")</f>
        <v/>
      </c>
      <c r="L382" s="15">
        <f>IF(AND(F382="",K382=""),"",N(F382)+IF(ISNUMBER(K382),K382,0))</f>
        <v/>
      </c>
      <c r="M382" s="14" t="n"/>
    </row>
    <row r="383">
      <c r="A383" s="13" t="n"/>
      <c r="B383" s="14" t="n"/>
      <c r="C383" s="14" t="n"/>
      <c r="D383" s="14" t="n"/>
      <c r="E383" s="14" t="n"/>
      <c r="F383" s="15" t="n"/>
      <c r="G383" s="14" t="n"/>
      <c r="H383" s="14" t="n"/>
      <c r="I383" s="14" t="n"/>
      <c r="J383" s="15" t="n"/>
      <c r="K383" s="15">
        <f>IF(AND(ISNUMBER(I383),ISNUMBER(J383)),I383*J383,"")</f>
        <v/>
      </c>
      <c r="L383" s="15">
        <f>IF(AND(F383="",K383=""),"",N(F383)+IF(ISNUMBER(K383),K383,0))</f>
        <v/>
      </c>
      <c r="M383" s="14" t="n"/>
    </row>
    <row r="384">
      <c r="A384" s="13" t="n"/>
      <c r="B384" s="14" t="n"/>
      <c r="C384" s="14" t="n"/>
      <c r="D384" s="14" t="n"/>
      <c r="E384" s="14" t="n"/>
      <c r="F384" s="15" t="n"/>
      <c r="G384" s="14" t="n"/>
      <c r="H384" s="14" t="n"/>
      <c r="I384" s="14" t="n"/>
      <c r="J384" s="15" t="n"/>
      <c r="K384" s="15">
        <f>IF(AND(ISNUMBER(I384),ISNUMBER(J384)),I384*J384,"")</f>
        <v/>
      </c>
      <c r="L384" s="15">
        <f>IF(AND(F384="",K384=""),"",N(F384)+IF(ISNUMBER(K384),K384,0))</f>
        <v/>
      </c>
      <c r="M384" s="14" t="n"/>
    </row>
    <row r="385">
      <c r="A385" s="13" t="n"/>
      <c r="B385" s="14" t="n"/>
      <c r="C385" s="14" t="n"/>
      <c r="D385" s="14" t="n"/>
      <c r="E385" s="14" t="n"/>
      <c r="F385" s="15" t="n"/>
      <c r="G385" s="14" t="n"/>
      <c r="H385" s="14" t="n"/>
      <c r="I385" s="14" t="n"/>
      <c r="J385" s="15" t="n"/>
      <c r="K385" s="15">
        <f>IF(AND(ISNUMBER(I385),ISNUMBER(J385)),I385*J385,"")</f>
        <v/>
      </c>
      <c r="L385" s="15">
        <f>IF(AND(F385="",K385=""),"",N(F385)+IF(ISNUMBER(K385),K385,0))</f>
        <v/>
      </c>
      <c r="M385" s="14" t="n"/>
    </row>
    <row r="386">
      <c r="A386" s="13" t="n"/>
      <c r="B386" s="14" t="n"/>
      <c r="C386" s="14" t="n"/>
      <c r="D386" s="14" t="n"/>
      <c r="E386" s="14" t="n"/>
      <c r="F386" s="15" t="n"/>
      <c r="G386" s="14" t="n"/>
      <c r="H386" s="14" t="n"/>
      <c r="I386" s="14" t="n"/>
      <c r="J386" s="15" t="n"/>
      <c r="K386" s="15">
        <f>IF(AND(ISNUMBER(I386),ISNUMBER(J386)),I386*J386,"")</f>
        <v/>
      </c>
      <c r="L386" s="15">
        <f>IF(AND(F386="",K386=""),"",N(F386)+IF(ISNUMBER(K386),K386,0))</f>
        <v/>
      </c>
      <c r="M386" s="14" t="n"/>
    </row>
    <row r="387">
      <c r="A387" s="13" t="n"/>
      <c r="B387" s="14" t="n"/>
      <c r="C387" s="14" t="n"/>
      <c r="D387" s="14" t="n"/>
      <c r="E387" s="14" t="n"/>
      <c r="F387" s="15" t="n"/>
      <c r="G387" s="14" t="n"/>
      <c r="H387" s="14" t="n"/>
      <c r="I387" s="14" t="n"/>
      <c r="J387" s="15" t="n"/>
      <c r="K387" s="15">
        <f>IF(AND(ISNUMBER(I387),ISNUMBER(J387)),I387*J387,"")</f>
        <v/>
      </c>
      <c r="L387" s="15">
        <f>IF(AND(F387="",K387=""),"",N(F387)+IF(ISNUMBER(K387),K387,0))</f>
        <v/>
      </c>
      <c r="M387" s="14" t="n"/>
    </row>
    <row r="388">
      <c r="A388" s="13" t="n"/>
      <c r="B388" s="14" t="n"/>
      <c r="C388" s="14" t="n"/>
      <c r="D388" s="14" t="n"/>
      <c r="E388" s="14" t="n"/>
      <c r="F388" s="15" t="n"/>
      <c r="G388" s="14" t="n"/>
      <c r="H388" s="14" t="n"/>
      <c r="I388" s="14" t="n"/>
      <c r="J388" s="15" t="n"/>
      <c r="K388" s="15">
        <f>IF(AND(ISNUMBER(I388),ISNUMBER(J388)),I388*J388,"")</f>
        <v/>
      </c>
      <c r="L388" s="15">
        <f>IF(AND(F388="",K388=""),"",N(F388)+IF(ISNUMBER(K388),K388,0))</f>
        <v/>
      </c>
      <c r="M388" s="14" t="n"/>
    </row>
    <row r="389">
      <c r="A389" s="13" t="n"/>
      <c r="B389" s="14" t="n"/>
      <c r="C389" s="14" t="n"/>
      <c r="D389" s="14" t="n"/>
      <c r="E389" s="14" t="n"/>
      <c r="F389" s="15" t="n"/>
      <c r="G389" s="14" t="n"/>
      <c r="H389" s="14" t="n"/>
      <c r="I389" s="14" t="n"/>
      <c r="J389" s="15" t="n"/>
      <c r="K389" s="15">
        <f>IF(AND(ISNUMBER(I389),ISNUMBER(J389)),I389*J389,"")</f>
        <v/>
      </c>
      <c r="L389" s="15">
        <f>IF(AND(F389="",K389=""),"",N(F389)+IF(ISNUMBER(K389),K389,0))</f>
        <v/>
      </c>
      <c r="M389" s="14" t="n"/>
    </row>
    <row r="390">
      <c r="A390" s="13" t="n"/>
      <c r="B390" s="14" t="n"/>
      <c r="C390" s="14" t="n"/>
      <c r="D390" s="14" t="n"/>
      <c r="E390" s="14" t="n"/>
      <c r="F390" s="15" t="n"/>
      <c r="G390" s="14" t="n"/>
      <c r="H390" s="14" t="n"/>
      <c r="I390" s="14" t="n"/>
      <c r="J390" s="15" t="n"/>
      <c r="K390" s="15">
        <f>IF(AND(ISNUMBER(I390),ISNUMBER(J390)),I390*J390,"")</f>
        <v/>
      </c>
      <c r="L390" s="15">
        <f>IF(AND(F390="",K390=""),"",N(F390)+IF(ISNUMBER(K390),K390,0))</f>
        <v/>
      </c>
      <c r="M390" s="14" t="n"/>
    </row>
    <row r="391">
      <c r="A391" s="13" t="n"/>
      <c r="B391" s="14" t="n"/>
      <c r="C391" s="14" t="n"/>
      <c r="D391" s="14" t="n"/>
      <c r="E391" s="14" t="n"/>
      <c r="F391" s="15" t="n"/>
      <c r="G391" s="14" t="n"/>
      <c r="H391" s="14" t="n"/>
      <c r="I391" s="14" t="n"/>
      <c r="J391" s="15" t="n"/>
      <c r="K391" s="15">
        <f>IF(AND(ISNUMBER(I391),ISNUMBER(J391)),I391*J391,"")</f>
        <v/>
      </c>
      <c r="L391" s="15">
        <f>IF(AND(F391="",K391=""),"",N(F391)+IF(ISNUMBER(K391),K391,0))</f>
        <v/>
      </c>
      <c r="M391" s="14" t="n"/>
    </row>
    <row r="392">
      <c r="A392" s="13" t="n"/>
      <c r="B392" s="14" t="n"/>
      <c r="C392" s="14" t="n"/>
      <c r="D392" s="14" t="n"/>
      <c r="E392" s="14" t="n"/>
      <c r="F392" s="15" t="n"/>
      <c r="G392" s="14" t="n"/>
      <c r="H392" s="14" t="n"/>
      <c r="I392" s="14" t="n"/>
      <c r="J392" s="15" t="n"/>
      <c r="K392" s="15">
        <f>IF(AND(ISNUMBER(I392),ISNUMBER(J392)),I392*J392,"")</f>
        <v/>
      </c>
      <c r="L392" s="15">
        <f>IF(AND(F392="",K392=""),"",N(F392)+IF(ISNUMBER(K392),K392,0))</f>
        <v/>
      </c>
      <c r="M392" s="14" t="n"/>
    </row>
    <row r="393">
      <c r="A393" s="13" t="n"/>
      <c r="B393" s="14" t="n"/>
      <c r="C393" s="14" t="n"/>
      <c r="D393" s="14" t="n"/>
      <c r="E393" s="14" t="n"/>
      <c r="F393" s="15" t="n"/>
      <c r="G393" s="14" t="n"/>
      <c r="H393" s="14" t="n"/>
      <c r="I393" s="14" t="n"/>
      <c r="J393" s="15" t="n"/>
      <c r="K393" s="15">
        <f>IF(AND(ISNUMBER(I393),ISNUMBER(J393)),I393*J393,"")</f>
        <v/>
      </c>
      <c r="L393" s="15">
        <f>IF(AND(F393="",K393=""),"",N(F393)+IF(ISNUMBER(K393),K393,0))</f>
        <v/>
      </c>
      <c r="M393" s="14" t="n"/>
    </row>
    <row r="394">
      <c r="A394" s="13" t="n"/>
      <c r="B394" s="14" t="n"/>
      <c r="C394" s="14" t="n"/>
      <c r="D394" s="14" t="n"/>
      <c r="E394" s="14" t="n"/>
      <c r="F394" s="15" t="n"/>
      <c r="G394" s="14" t="n"/>
      <c r="H394" s="14" t="n"/>
      <c r="I394" s="14" t="n"/>
      <c r="J394" s="15" t="n"/>
      <c r="K394" s="15">
        <f>IF(AND(ISNUMBER(I394),ISNUMBER(J394)),I394*J394,"")</f>
        <v/>
      </c>
      <c r="L394" s="15">
        <f>IF(AND(F394="",K394=""),"",N(F394)+IF(ISNUMBER(K394),K394,0))</f>
        <v/>
      </c>
      <c r="M394" s="14" t="n"/>
    </row>
    <row r="395">
      <c r="A395" s="13" t="n"/>
      <c r="B395" s="14" t="n"/>
      <c r="C395" s="14" t="n"/>
      <c r="D395" s="14" t="n"/>
      <c r="E395" s="14" t="n"/>
      <c r="F395" s="15" t="n"/>
      <c r="G395" s="14" t="n"/>
      <c r="H395" s="14" t="n"/>
      <c r="I395" s="14" t="n"/>
      <c r="J395" s="15" t="n"/>
      <c r="K395" s="15">
        <f>IF(AND(ISNUMBER(I395),ISNUMBER(J395)),I395*J395,"")</f>
        <v/>
      </c>
      <c r="L395" s="15">
        <f>IF(AND(F395="",K395=""),"",N(F395)+IF(ISNUMBER(K395),K395,0))</f>
        <v/>
      </c>
      <c r="M395" s="14" t="n"/>
    </row>
    <row r="396">
      <c r="A396" s="13" t="n"/>
      <c r="B396" s="14" t="n"/>
      <c r="C396" s="14" t="n"/>
      <c r="D396" s="14" t="n"/>
      <c r="E396" s="14" t="n"/>
      <c r="F396" s="15" t="n"/>
      <c r="G396" s="14" t="n"/>
      <c r="H396" s="14" t="n"/>
      <c r="I396" s="14" t="n"/>
      <c r="J396" s="15" t="n"/>
      <c r="K396" s="15">
        <f>IF(AND(ISNUMBER(I396),ISNUMBER(J396)),I396*J396,"")</f>
        <v/>
      </c>
      <c r="L396" s="15">
        <f>IF(AND(F396="",K396=""),"",N(F396)+IF(ISNUMBER(K396),K396,0))</f>
        <v/>
      </c>
      <c r="M396" s="14" t="n"/>
    </row>
    <row r="397">
      <c r="A397" s="13" t="n"/>
      <c r="B397" s="14" t="n"/>
      <c r="C397" s="14" t="n"/>
      <c r="D397" s="14" t="n"/>
      <c r="E397" s="14" t="n"/>
      <c r="F397" s="15" t="n"/>
      <c r="G397" s="14" t="n"/>
      <c r="H397" s="14" t="n"/>
      <c r="I397" s="14" t="n"/>
      <c r="J397" s="15" t="n"/>
      <c r="K397" s="15">
        <f>IF(AND(ISNUMBER(I397),ISNUMBER(J397)),I397*J397,"")</f>
        <v/>
      </c>
      <c r="L397" s="15">
        <f>IF(AND(F397="",K397=""),"",N(F397)+IF(ISNUMBER(K397),K397,0))</f>
        <v/>
      </c>
      <c r="M397" s="14" t="n"/>
    </row>
    <row r="398">
      <c r="A398" s="13" t="n"/>
      <c r="B398" s="14" t="n"/>
      <c r="C398" s="14" t="n"/>
      <c r="D398" s="14" t="n"/>
      <c r="E398" s="14" t="n"/>
      <c r="F398" s="15" t="n"/>
      <c r="G398" s="14" t="n"/>
      <c r="H398" s="14" t="n"/>
      <c r="I398" s="14" t="n"/>
      <c r="J398" s="15" t="n"/>
      <c r="K398" s="15">
        <f>IF(AND(ISNUMBER(I398),ISNUMBER(J398)),I398*J398,"")</f>
        <v/>
      </c>
      <c r="L398" s="15">
        <f>IF(AND(F398="",K398=""),"",N(F398)+IF(ISNUMBER(K398),K398,0))</f>
        <v/>
      </c>
      <c r="M398" s="14" t="n"/>
    </row>
    <row r="399">
      <c r="A399" s="13" t="n"/>
      <c r="B399" s="14" t="n"/>
      <c r="C399" s="14" t="n"/>
      <c r="D399" s="14" t="n"/>
      <c r="E399" s="14" t="n"/>
      <c r="F399" s="15" t="n"/>
      <c r="G399" s="14" t="n"/>
      <c r="H399" s="14" t="n"/>
      <c r="I399" s="14" t="n"/>
      <c r="J399" s="15" t="n"/>
      <c r="K399" s="15">
        <f>IF(AND(ISNUMBER(I399),ISNUMBER(J399)),I399*J399,"")</f>
        <v/>
      </c>
      <c r="L399" s="15">
        <f>IF(AND(F399="",K399=""),"",N(F399)+IF(ISNUMBER(K399),K399,0))</f>
        <v/>
      </c>
      <c r="M399" s="14" t="n"/>
    </row>
    <row r="400">
      <c r="A400" s="13" t="n"/>
      <c r="B400" s="14" t="n"/>
      <c r="C400" s="14" t="n"/>
      <c r="D400" s="14" t="n"/>
      <c r="E400" s="14" t="n"/>
      <c r="F400" s="15" t="n"/>
      <c r="G400" s="14" t="n"/>
      <c r="H400" s="14" t="n"/>
      <c r="I400" s="14" t="n"/>
      <c r="J400" s="15" t="n"/>
      <c r="K400" s="15">
        <f>IF(AND(ISNUMBER(I400),ISNUMBER(J400)),I400*J400,"")</f>
        <v/>
      </c>
      <c r="L400" s="15">
        <f>IF(AND(F400="",K400=""),"",N(F400)+IF(ISNUMBER(K400),K400,0))</f>
        <v/>
      </c>
      <c r="M400" s="14" t="n"/>
    </row>
    <row r="401">
      <c r="A401" s="13" t="n"/>
      <c r="B401" s="14" t="n"/>
      <c r="C401" s="14" t="n"/>
      <c r="D401" s="14" t="n"/>
      <c r="E401" s="14" t="n"/>
      <c r="F401" s="15" t="n"/>
      <c r="G401" s="14" t="n"/>
      <c r="H401" s="14" t="n"/>
      <c r="I401" s="14" t="n"/>
      <c r="J401" s="15" t="n"/>
      <c r="K401" s="15">
        <f>IF(AND(ISNUMBER(I401),ISNUMBER(J401)),I401*J401,"")</f>
        <v/>
      </c>
      <c r="L401" s="15">
        <f>IF(AND(F401="",K401=""),"",N(F401)+IF(ISNUMBER(K401),K401,0))</f>
        <v/>
      </c>
      <c r="M401" s="14" t="n"/>
    </row>
    <row r="402">
      <c r="A402" s="13" t="n"/>
      <c r="B402" s="14" t="n"/>
      <c r="C402" s="14" t="n"/>
      <c r="D402" s="14" t="n"/>
      <c r="E402" s="14" t="n"/>
      <c r="F402" s="15" t="n"/>
      <c r="G402" s="14" t="n"/>
      <c r="H402" s="14" t="n"/>
      <c r="I402" s="14" t="n"/>
      <c r="J402" s="15" t="n"/>
      <c r="K402" s="15">
        <f>IF(AND(ISNUMBER(I402),ISNUMBER(J402)),I402*J402,"")</f>
        <v/>
      </c>
      <c r="L402" s="15">
        <f>IF(AND(F402="",K402=""),"",N(F402)+IF(ISNUMBER(K402),K402,0))</f>
        <v/>
      </c>
      <c r="M402" s="14" t="n"/>
    </row>
    <row r="403">
      <c r="A403" s="13" t="n"/>
      <c r="B403" s="14" t="n"/>
      <c r="C403" s="14" t="n"/>
      <c r="D403" s="14" t="n"/>
      <c r="E403" s="14" t="n"/>
      <c r="F403" s="15" t="n"/>
      <c r="G403" s="14" t="n"/>
      <c r="H403" s="14" t="n"/>
      <c r="I403" s="14" t="n"/>
      <c r="J403" s="15" t="n"/>
      <c r="K403" s="15">
        <f>IF(AND(ISNUMBER(I403),ISNUMBER(J403)),I403*J403,"")</f>
        <v/>
      </c>
      <c r="L403" s="15">
        <f>IF(AND(F403="",K403=""),"",N(F403)+IF(ISNUMBER(K403),K403,0))</f>
        <v/>
      </c>
      <c r="M403" s="14" t="n"/>
    </row>
    <row r="404">
      <c r="A404" s="13" t="n"/>
      <c r="B404" s="14" t="n"/>
      <c r="C404" s="14" t="n"/>
      <c r="D404" s="14" t="n"/>
      <c r="E404" s="14" t="n"/>
      <c r="F404" s="15" t="n"/>
      <c r="G404" s="14" t="n"/>
      <c r="H404" s="14" t="n"/>
      <c r="I404" s="14" t="n"/>
      <c r="J404" s="15" t="n"/>
      <c r="K404" s="15">
        <f>IF(AND(ISNUMBER(I404),ISNUMBER(J404)),I404*J404,"")</f>
        <v/>
      </c>
      <c r="L404" s="15">
        <f>IF(AND(F404="",K404=""),"",N(F404)+IF(ISNUMBER(K404),K404,0))</f>
        <v/>
      </c>
      <c r="M404" s="14" t="n"/>
    </row>
    <row r="405">
      <c r="A405" s="13" t="n"/>
      <c r="B405" s="14" t="n"/>
      <c r="C405" s="14" t="n"/>
      <c r="D405" s="14" t="n"/>
      <c r="E405" s="14" t="n"/>
      <c r="F405" s="15" t="n"/>
      <c r="G405" s="14" t="n"/>
      <c r="H405" s="14" t="n"/>
      <c r="I405" s="14" t="n"/>
      <c r="J405" s="15" t="n"/>
      <c r="K405" s="15">
        <f>IF(AND(ISNUMBER(I405),ISNUMBER(J405)),I405*J405,"")</f>
        <v/>
      </c>
      <c r="L405" s="15">
        <f>IF(AND(F405="",K405=""),"",N(F405)+IF(ISNUMBER(K405),K405,0))</f>
        <v/>
      </c>
      <c r="M405" s="14" t="n"/>
    </row>
    <row r="406">
      <c r="A406" s="13" t="n"/>
      <c r="B406" s="14" t="n"/>
      <c r="C406" s="14" t="n"/>
      <c r="D406" s="14" t="n"/>
      <c r="E406" s="14" t="n"/>
      <c r="F406" s="15" t="n"/>
      <c r="G406" s="14" t="n"/>
      <c r="H406" s="14" t="n"/>
      <c r="I406" s="14" t="n"/>
      <c r="J406" s="15" t="n"/>
      <c r="K406" s="15">
        <f>IF(AND(ISNUMBER(I406),ISNUMBER(J406)),I406*J406,"")</f>
        <v/>
      </c>
      <c r="L406" s="15">
        <f>IF(AND(F406="",K406=""),"",N(F406)+IF(ISNUMBER(K406),K406,0))</f>
        <v/>
      </c>
      <c r="M406" s="14" t="n"/>
    </row>
    <row r="407">
      <c r="A407" s="13" t="n"/>
      <c r="B407" s="14" t="n"/>
      <c r="C407" s="14" t="n"/>
      <c r="D407" s="14" t="n"/>
      <c r="E407" s="14" t="n"/>
      <c r="F407" s="15" t="n"/>
      <c r="G407" s="14" t="n"/>
      <c r="H407" s="14" t="n"/>
      <c r="I407" s="14" t="n"/>
      <c r="J407" s="15" t="n"/>
      <c r="K407" s="15">
        <f>IF(AND(ISNUMBER(I407),ISNUMBER(J407)),I407*J407,"")</f>
        <v/>
      </c>
      <c r="L407" s="15">
        <f>IF(AND(F407="",K407=""),"",N(F407)+IF(ISNUMBER(K407),K407,0))</f>
        <v/>
      </c>
      <c r="M407" s="14" t="n"/>
    </row>
    <row r="408">
      <c r="A408" s="13" t="n"/>
      <c r="B408" s="14" t="n"/>
      <c r="C408" s="14" t="n"/>
      <c r="D408" s="14" t="n"/>
      <c r="E408" s="14" t="n"/>
      <c r="F408" s="15" t="n"/>
      <c r="G408" s="14" t="n"/>
      <c r="H408" s="14" t="n"/>
      <c r="I408" s="14" t="n"/>
      <c r="J408" s="15" t="n"/>
      <c r="K408" s="15">
        <f>IF(AND(ISNUMBER(I408),ISNUMBER(J408)),I408*J408,"")</f>
        <v/>
      </c>
      <c r="L408" s="15">
        <f>IF(AND(F408="",K408=""),"",N(F408)+IF(ISNUMBER(K408),K408,0))</f>
        <v/>
      </c>
      <c r="M408" s="14" t="n"/>
    </row>
    <row r="409">
      <c r="A409" s="13" t="n"/>
      <c r="B409" s="14" t="n"/>
      <c r="C409" s="14" t="n"/>
      <c r="D409" s="14" t="n"/>
      <c r="E409" s="14" t="n"/>
      <c r="F409" s="15" t="n"/>
      <c r="G409" s="14" t="n"/>
      <c r="H409" s="14" t="n"/>
      <c r="I409" s="14" t="n"/>
      <c r="J409" s="15" t="n"/>
      <c r="K409" s="15">
        <f>IF(AND(ISNUMBER(I409),ISNUMBER(J409)),I409*J409,"")</f>
        <v/>
      </c>
      <c r="L409" s="15">
        <f>IF(AND(F409="",K409=""),"",N(F409)+IF(ISNUMBER(K409),K409,0))</f>
        <v/>
      </c>
      <c r="M409" s="14" t="n"/>
    </row>
    <row r="410">
      <c r="A410" s="13" t="n"/>
      <c r="B410" s="14" t="n"/>
      <c r="C410" s="14" t="n"/>
      <c r="D410" s="14" t="n"/>
      <c r="E410" s="14" t="n"/>
      <c r="F410" s="15" t="n"/>
      <c r="G410" s="14" t="n"/>
      <c r="H410" s="14" t="n"/>
      <c r="I410" s="14" t="n"/>
      <c r="J410" s="15" t="n"/>
      <c r="K410" s="15">
        <f>IF(AND(ISNUMBER(I410),ISNUMBER(J410)),I410*J410,"")</f>
        <v/>
      </c>
      <c r="L410" s="15">
        <f>IF(AND(F410="",K410=""),"",N(F410)+IF(ISNUMBER(K410),K410,0))</f>
        <v/>
      </c>
      <c r="M410" s="14" t="n"/>
    </row>
    <row r="411">
      <c r="A411" s="13" t="n"/>
      <c r="B411" s="14" t="n"/>
      <c r="C411" s="14" t="n"/>
      <c r="D411" s="14" t="n"/>
      <c r="E411" s="14" t="n"/>
      <c r="F411" s="15" t="n"/>
      <c r="G411" s="14" t="n"/>
      <c r="H411" s="14" t="n"/>
      <c r="I411" s="14" t="n"/>
      <c r="J411" s="15" t="n"/>
      <c r="K411" s="15">
        <f>IF(AND(ISNUMBER(I411),ISNUMBER(J411)),I411*J411,"")</f>
        <v/>
      </c>
      <c r="L411" s="15">
        <f>IF(AND(F411="",K411=""),"",N(F411)+IF(ISNUMBER(K411),K411,0))</f>
        <v/>
      </c>
      <c r="M411" s="14" t="n"/>
    </row>
    <row r="412">
      <c r="A412" s="13" t="n"/>
      <c r="B412" s="14" t="n"/>
      <c r="C412" s="14" t="n"/>
      <c r="D412" s="14" t="n"/>
      <c r="E412" s="14" t="n"/>
      <c r="F412" s="15" t="n"/>
      <c r="G412" s="14" t="n"/>
      <c r="H412" s="14" t="n"/>
      <c r="I412" s="14" t="n"/>
      <c r="J412" s="15" t="n"/>
      <c r="K412" s="15">
        <f>IF(AND(ISNUMBER(I412),ISNUMBER(J412)),I412*J412,"")</f>
        <v/>
      </c>
      <c r="L412" s="15">
        <f>IF(AND(F412="",K412=""),"",N(F412)+IF(ISNUMBER(K412),K412,0))</f>
        <v/>
      </c>
      <c r="M412" s="14" t="n"/>
    </row>
    <row r="413">
      <c r="A413" s="13" t="n"/>
      <c r="B413" s="14" t="n"/>
      <c r="C413" s="14" t="n"/>
      <c r="D413" s="14" t="n"/>
      <c r="E413" s="14" t="n"/>
      <c r="F413" s="15" t="n"/>
      <c r="G413" s="14" t="n"/>
      <c r="H413" s="14" t="n"/>
      <c r="I413" s="14" t="n"/>
      <c r="J413" s="15" t="n"/>
      <c r="K413" s="15">
        <f>IF(AND(ISNUMBER(I413),ISNUMBER(J413)),I413*J413,"")</f>
        <v/>
      </c>
      <c r="L413" s="15">
        <f>IF(AND(F413="",K413=""),"",N(F413)+IF(ISNUMBER(K413),K413,0))</f>
        <v/>
      </c>
      <c r="M413" s="14" t="n"/>
    </row>
    <row r="414">
      <c r="A414" s="13" t="n"/>
      <c r="B414" s="14" t="n"/>
      <c r="C414" s="14" t="n"/>
      <c r="D414" s="14" t="n"/>
      <c r="E414" s="14" t="n"/>
      <c r="F414" s="15" t="n"/>
      <c r="G414" s="14" t="n"/>
      <c r="H414" s="14" t="n"/>
      <c r="I414" s="14" t="n"/>
      <c r="J414" s="15" t="n"/>
      <c r="K414" s="15">
        <f>IF(AND(ISNUMBER(I414),ISNUMBER(J414)),I414*J414,"")</f>
        <v/>
      </c>
      <c r="L414" s="15">
        <f>IF(AND(F414="",K414=""),"",N(F414)+IF(ISNUMBER(K414),K414,0))</f>
        <v/>
      </c>
      <c r="M414" s="14" t="n"/>
    </row>
    <row r="415">
      <c r="A415" s="13" t="n"/>
      <c r="B415" s="14" t="n"/>
      <c r="C415" s="14" t="n"/>
      <c r="D415" s="14" t="n"/>
      <c r="E415" s="14" t="n"/>
      <c r="F415" s="15" t="n"/>
      <c r="G415" s="14" t="n"/>
      <c r="H415" s="14" t="n"/>
      <c r="I415" s="14" t="n"/>
      <c r="J415" s="15" t="n"/>
      <c r="K415" s="15">
        <f>IF(AND(ISNUMBER(I415),ISNUMBER(J415)),I415*J415,"")</f>
        <v/>
      </c>
      <c r="L415" s="15">
        <f>IF(AND(F415="",K415=""),"",N(F415)+IF(ISNUMBER(K415),K415,0))</f>
        <v/>
      </c>
      <c r="M415" s="14" t="n"/>
    </row>
    <row r="416">
      <c r="A416" s="13" t="n"/>
      <c r="B416" s="14" t="n"/>
      <c r="C416" s="14" t="n"/>
      <c r="D416" s="14" t="n"/>
      <c r="E416" s="14" t="n"/>
      <c r="F416" s="15" t="n"/>
      <c r="G416" s="14" t="n"/>
      <c r="H416" s="14" t="n"/>
      <c r="I416" s="14" t="n"/>
      <c r="J416" s="15" t="n"/>
      <c r="K416" s="15">
        <f>IF(AND(ISNUMBER(I416),ISNUMBER(J416)),I416*J416,"")</f>
        <v/>
      </c>
      <c r="L416" s="15">
        <f>IF(AND(F416="",K416=""),"",N(F416)+IF(ISNUMBER(K416),K416,0))</f>
        <v/>
      </c>
      <c r="M416" s="14" t="n"/>
    </row>
    <row r="417">
      <c r="A417" s="13" t="n"/>
      <c r="B417" s="14" t="n"/>
      <c r="C417" s="14" t="n"/>
      <c r="D417" s="14" t="n"/>
      <c r="E417" s="14" t="n"/>
      <c r="F417" s="15" t="n"/>
      <c r="G417" s="14" t="n"/>
      <c r="H417" s="14" t="n"/>
      <c r="I417" s="14" t="n"/>
      <c r="J417" s="15" t="n"/>
      <c r="K417" s="15">
        <f>IF(AND(ISNUMBER(I417),ISNUMBER(J417)),I417*J417,"")</f>
        <v/>
      </c>
      <c r="L417" s="15">
        <f>IF(AND(F417="",K417=""),"",N(F417)+IF(ISNUMBER(K417),K417,0))</f>
        <v/>
      </c>
      <c r="M417" s="14" t="n"/>
    </row>
    <row r="418">
      <c r="A418" s="13" t="n"/>
      <c r="B418" s="14" t="n"/>
      <c r="C418" s="14" t="n"/>
      <c r="D418" s="14" t="n"/>
      <c r="E418" s="14" t="n"/>
      <c r="F418" s="15" t="n"/>
      <c r="G418" s="14" t="n"/>
      <c r="H418" s="14" t="n"/>
      <c r="I418" s="14" t="n"/>
      <c r="J418" s="15" t="n"/>
      <c r="K418" s="15">
        <f>IF(AND(ISNUMBER(I418),ISNUMBER(J418)),I418*J418,"")</f>
        <v/>
      </c>
      <c r="L418" s="15">
        <f>IF(AND(F418="",K418=""),"",N(F418)+IF(ISNUMBER(K418),K418,0))</f>
        <v/>
      </c>
      <c r="M418" s="14" t="n"/>
    </row>
    <row r="419">
      <c r="A419" s="13" t="n"/>
      <c r="B419" s="14" t="n"/>
      <c r="C419" s="14" t="n"/>
      <c r="D419" s="14" t="n"/>
      <c r="E419" s="14" t="n"/>
      <c r="F419" s="15" t="n"/>
      <c r="G419" s="14" t="n"/>
      <c r="H419" s="14" t="n"/>
      <c r="I419" s="14" t="n"/>
      <c r="J419" s="15" t="n"/>
      <c r="K419" s="15">
        <f>IF(AND(ISNUMBER(I419),ISNUMBER(J419)),I419*J419,"")</f>
        <v/>
      </c>
      <c r="L419" s="15">
        <f>IF(AND(F419="",K419=""),"",N(F419)+IF(ISNUMBER(K419),K419,0))</f>
        <v/>
      </c>
      <c r="M419" s="14" t="n"/>
    </row>
    <row r="420">
      <c r="A420" s="13" t="n"/>
      <c r="B420" s="14" t="n"/>
      <c r="C420" s="14" t="n"/>
      <c r="D420" s="14" t="n"/>
      <c r="E420" s="14" t="n"/>
      <c r="F420" s="15" t="n"/>
      <c r="G420" s="14" t="n"/>
      <c r="H420" s="14" t="n"/>
      <c r="I420" s="14" t="n"/>
      <c r="J420" s="15" t="n"/>
      <c r="K420" s="15">
        <f>IF(AND(ISNUMBER(I420),ISNUMBER(J420)),I420*J420,"")</f>
        <v/>
      </c>
      <c r="L420" s="15">
        <f>IF(AND(F420="",K420=""),"",N(F420)+IF(ISNUMBER(K420),K420,0))</f>
        <v/>
      </c>
      <c r="M420" s="14" t="n"/>
    </row>
    <row r="421">
      <c r="A421" s="13" t="n"/>
      <c r="B421" s="14" t="n"/>
      <c r="C421" s="14" t="n"/>
      <c r="D421" s="14" t="n"/>
      <c r="E421" s="14" t="n"/>
      <c r="F421" s="15" t="n"/>
      <c r="G421" s="14" t="n"/>
      <c r="H421" s="14" t="n"/>
      <c r="I421" s="14" t="n"/>
      <c r="J421" s="15" t="n"/>
      <c r="K421" s="15">
        <f>IF(AND(ISNUMBER(I421),ISNUMBER(J421)),I421*J421,"")</f>
        <v/>
      </c>
      <c r="L421" s="15">
        <f>IF(AND(F421="",K421=""),"",N(F421)+IF(ISNUMBER(K421),K421,0))</f>
        <v/>
      </c>
      <c r="M421" s="14" t="n"/>
    </row>
    <row r="422">
      <c r="A422" s="13" t="n"/>
      <c r="B422" s="14" t="n"/>
      <c r="C422" s="14" t="n"/>
      <c r="D422" s="14" t="n"/>
      <c r="E422" s="14" t="n"/>
      <c r="F422" s="15" t="n"/>
      <c r="G422" s="14" t="n"/>
      <c r="H422" s="14" t="n"/>
      <c r="I422" s="14" t="n"/>
      <c r="J422" s="15" t="n"/>
      <c r="K422" s="15">
        <f>IF(AND(ISNUMBER(I422),ISNUMBER(J422)),I422*J422,"")</f>
        <v/>
      </c>
      <c r="L422" s="15">
        <f>IF(AND(F422="",K422=""),"",N(F422)+IF(ISNUMBER(K422),K422,0))</f>
        <v/>
      </c>
      <c r="M422" s="14" t="n"/>
    </row>
    <row r="423">
      <c r="A423" s="13" t="n"/>
      <c r="B423" s="14" t="n"/>
      <c r="C423" s="14" t="n"/>
      <c r="D423" s="14" t="n"/>
      <c r="E423" s="14" t="n"/>
      <c r="F423" s="15" t="n"/>
      <c r="G423" s="14" t="n"/>
      <c r="H423" s="14" t="n"/>
      <c r="I423" s="14" t="n"/>
      <c r="J423" s="15" t="n"/>
      <c r="K423" s="15">
        <f>IF(AND(ISNUMBER(I423),ISNUMBER(J423)),I423*J423,"")</f>
        <v/>
      </c>
      <c r="L423" s="15">
        <f>IF(AND(F423="",K423=""),"",N(F423)+IF(ISNUMBER(K423),K423,0))</f>
        <v/>
      </c>
      <c r="M423" s="14" t="n"/>
    </row>
    <row r="424">
      <c r="A424" s="13" t="n"/>
      <c r="B424" s="14" t="n"/>
      <c r="C424" s="14" t="n"/>
      <c r="D424" s="14" t="n"/>
      <c r="E424" s="14" t="n"/>
      <c r="F424" s="15" t="n"/>
      <c r="G424" s="14" t="n"/>
      <c r="H424" s="14" t="n"/>
      <c r="I424" s="14" t="n"/>
      <c r="J424" s="15" t="n"/>
      <c r="K424" s="15">
        <f>IF(AND(ISNUMBER(I424),ISNUMBER(J424)),I424*J424,"")</f>
        <v/>
      </c>
      <c r="L424" s="15">
        <f>IF(AND(F424="",K424=""),"",N(F424)+IF(ISNUMBER(K424),K424,0))</f>
        <v/>
      </c>
      <c r="M424" s="14" t="n"/>
    </row>
    <row r="425">
      <c r="A425" s="13" t="n"/>
      <c r="B425" s="14" t="n"/>
      <c r="C425" s="14" t="n"/>
      <c r="D425" s="14" t="n"/>
      <c r="E425" s="14" t="n"/>
      <c r="F425" s="15" t="n"/>
      <c r="G425" s="14" t="n"/>
      <c r="H425" s="14" t="n"/>
      <c r="I425" s="14" t="n"/>
      <c r="J425" s="15" t="n"/>
      <c r="K425" s="15">
        <f>IF(AND(ISNUMBER(I425),ISNUMBER(J425)),I425*J425,"")</f>
        <v/>
      </c>
      <c r="L425" s="15">
        <f>IF(AND(F425="",K425=""),"",N(F425)+IF(ISNUMBER(K425),K425,0))</f>
        <v/>
      </c>
      <c r="M425" s="14" t="n"/>
    </row>
    <row r="426">
      <c r="A426" s="13" t="n"/>
      <c r="B426" s="14" t="n"/>
      <c r="C426" s="14" t="n"/>
      <c r="D426" s="14" t="n"/>
      <c r="E426" s="14" t="n"/>
      <c r="F426" s="15" t="n"/>
      <c r="G426" s="14" t="n"/>
      <c r="H426" s="14" t="n"/>
      <c r="I426" s="14" t="n"/>
      <c r="J426" s="15" t="n"/>
      <c r="K426" s="15">
        <f>IF(AND(ISNUMBER(I426),ISNUMBER(J426)),I426*J426,"")</f>
        <v/>
      </c>
      <c r="L426" s="15">
        <f>IF(AND(F426="",K426=""),"",N(F426)+IF(ISNUMBER(K426),K426,0))</f>
        <v/>
      </c>
      <c r="M426" s="14" t="n"/>
    </row>
    <row r="427">
      <c r="A427" s="13" t="n"/>
      <c r="B427" s="14" t="n"/>
      <c r="C427" s="14" t="n"/>
      <c r="D427" s="14" t="n"/>
      <c r="E427" s="14" t="n"/>
      <c r="F427" s="15" t="n"/>
      <c r="G427" s="14" t="n"/>
      <c r="H427" s="14" t="n"/>
      <c r="I427" s="14" t="n"/>
      <c r="J427" s="15" t="n"/>
      <c r="K427" s="15">
        <f>IF(AND(ISNUMBER(I427),ISNUMBER(J427)),I427*J427,"")</f>
        <v/>
      </c>
      <c r="L427" s="15">
        <f>IF(AND(F427="",K427=""),"",N(F427)+IF(ISNUMBER(K427),K427,0))</f>
        <v/>
      </c>
      <c r="M427" s="14" t="n"/>
    </row>
    <row r="428">
      <c r="A428" s="13" t="n"/>
      <c r="B428" s="14" t="n"/>
      <c r="C428" s="14" t="n"/>
      <c r="D428" s="14" t="n"/>
      <c r="E428" s="14" t="n"/>
      <c r="F428" s="15" t="n"/>
      <c r="G428" s="14" t="n"/>
      <c r="H428" s="14" t="n"/>
      <c r="I428" s="14" t="n"/>
      <c r="J428" s="15" t="n"/>
      <c r="K428" s="15">
        <f>IF(AND(ISNUMBER(I428),ISNUMBER(J428)),I428*J428,"")</f>
        <v/>
      </c>
      <c r="L428" s="15">
        <f>IF(AND(F428="",K428=""),"",N(F428)+IF(ISNUMBER(K428),K428,0))</f>
        <v/>
      </c>
      <c r="M428" s="14" t="n"/>
    </row>
    <row r="429">
      <c r="A429" s="13" t="n"/>
      <c r="B429" s="14" t="n"/>
      <c r="C429" s="14" t="n"/>
      <c r="D429" s="14" t="n"/>
      <c r="E429" s="14" t="n"/>
      <c r="F429" s="15" t="n"/>
      <c r="G429" s="14" t="n"/>
      <c r="H429" s="14" t="n"/>
      <c r="I429" s="14" t="n"/>
      <c r="J429" s="15" t="n"/>
      <c r="K429" s="15">
        <f>IF(AND(ISNUMBER(I429),ISNUMBER(J429)),I429*J429,"")</f>
        <v/>
      </c>
      <c r="L429" s="15">
        <f>IF(AND(F429="",K429=""),"",N(F429)+IF(ISNUMBER(K429),K429,0))</f>
        <v/>
      </c>
      <c r="M429" s="14" t="n"/>
    </row>
    <row r="430">
      <c r="A430" s="13" t="n"/>
      <c r="B430" s="14" t="n"/>
      <c r="C430" s="14" t="n"/>
      <c r="D430" s="14" t="n"/>
      <c r="E430" s="14" t="n"/>
      <c r="F430" s="15" t="n"/>
      <c r="G430" s="14" t="n"/>
      <c r="H430" s="14" t="n"/>
      <c r="I430" s="14" t="n"/>
      <c r="J430" s="15" t="n"/>
      <c r="K430" s="15">
        <f>IF(AND(ISNUMBER(I430),ISNUMBER(J430)),I430*J430,"")</f>
        <v/>
      </c>
      <c r="L430" s="15">
        <f>IF(AND(F430="",K430=""),"",N(F430)+IF(ISNUMBER(K430),K430,0))</f>
        <v/>
      </c>
      <c r="M430" s="14" t="n"/>
    </row>
    <row r="431">
      <c r="A431" s="13" t="n"/>
      <c r="B431" s="14" t="n"/>
      <c r="C431" s="14" t="n"/>
      <c r="D431" s="14" t="n"/>
      <c r="E431" s="14" t="n"/>
      <c r="F431" s="15" t="n"/>
      <c r="G431" s="14" t="n"/>
      <c r="H431" s="14" t="n"/>
      <c r="I431" s="14" t="n"/>
      <c r="J431" s="15" t="n"/>
      <c r="K431" s="15">
        <f>IF(AND(ISNUMBER(I431),ISNUMBER(J431)),I431*J431,"")</f>
        <v/>
      </c>
      <c r="L431" s="15">
        <f>IF(AND(F431="",K431=""),"",N(F431)+IF(ISNUMBER(K431),K431,0))</f>
        <v/>
      </c>
      <c r="M431" s="14" t="n"/>
    </row>
    <row r="432">
      <c r="A432" s="13" t="n"/>
      <c r="B432" s="14" t="n"/>
      <c r="C432" s="14" t="n"/>
      <c r="D432" s="14" t="n"/>
      <c r="E432" s="14" t="n"/>
      <c r="F432" s="15" t="n"/>
      <c r="G432" s="14" t="n"/>
      <c r="H432" s="14" t="n"/>
      <c r="I432" s="14" t="n"/>
      <c r="J432" s="15" t="n"/>
      <c r="K432" s="15">
        <f>IF(AND(ISNUMBER(I432),ISNUMBER(J432)),I432*J432,"")</f>
        <v/>
      </c>
      <c r="L432" s="15">
        <f>IF(AND(F432="",K432=""),"",N(F432)+IF(ISNUMBER(K432),K432,0))</f>
        <v/>
      </c>
      <c r="M432" s="14" t="n"/>
    </row>
    <row r="433">
      <c r="A433" s="13" t="n"/>
      <c r="B433" s="14" t="n"/>
      <c r="C433" s="14" t="n"/>
      <c r="D433" s="14" t="n"/>
      <c r="E433" s="14" t="n"/>
      <c r="F433" s="15" t="n"/>
      <c r="G433" s="14" t="n"/>
      <c r="H433" s="14" t="n"/>
      <c r="I433" s="14" t="n"/>
      <c r="J433" s="15" t="n"/>
      <c r="K433" s="15">
        <f>IF(AND(ISNUMBER(I433),ISNUMBER(J433)),I433*J433,"")</f>
        <v/>
      </c>
      <c r="L433" s="15">
        <f>IF(AND(F433="",K433=""),"",N(F433)+IF(ISNUMBER(K433),K433,0))</f>
        <v/>
      </c>
      <c r="M433" s="14" t="n"/>
    </row>
    <row r="434">
      <c r="A434" s="13" t="n"/>
      <c r="B434" s="14" t="n"/>
      <c r="C434" s="14" t="n"/>
      <c r="D434" s="14" t="n"/>
      <c r="E434" s="14" t="n"/>
      <c r="F434" s="15" t="n"/>
      <c r="G434" s="14" t="n"/>
      <c r="H434" s="14" t="n"/>
      <c r="I434" s="14" t="n"/>
      <c r="J434" s="15" t="n"/>
      <c r="K434" s="15">
        <f>IF(AND(ISNUMBER(I434),ISNUMBER(J434)),I434*J434,"")</f>
        <v/>
      </c>
      <c r="L434" s="15">
        <f>IF(AND(F434="",K434=""),"",N(F434)+IF(ISNUMBER(K434),K434,0))</f>
        <v/>
      </c>
      <c r="M434" s="14" t="n"/>
    </row>
    <row r="435">
      <c r="A435" s="13" t="n"/>
      <c r="B435" s="14" t="n"/>
      <c r="C435" s="14" t="n"/>
      <c r="D435" s="14" t="n"/>
      <c r="E435" s="14" t="n"/>
      <c r="F435" s="15" t="n"/>
      <c r="G435" s="14" t="n"/>
      <c r="H435" s="14" t="n"/>
      <c r="I435" s="14" t="n"/>
      <c r="J435" s="15" t="n"/>
      <c r="K435" s="15">
        <f>IF(AND(ISNUMBER(I435),ISNUMBER(J435)),I435*J435,"")</f>
        <v/>
      </c>
      <c r="L435" s="15">
        <f>IF(AND(F435="",K435=""),"",N(F435)+IF(ISNUMBER(K435),K435,0))</f>
        <v/>
      </c>
      <c r="M435" s="14" t="n"/>
    </row>
    <row r="436">
      <c r="A436" s="13" t="n"/>
      <c r="B436" s="14" t="n"/>
      <c r="C436" s="14" t="n"/>
      <c r="D436" s="14" t="n"/>
      <c r="E436" s="14" t="n"/>
      <c r="F436" s="15" t="n"/>
      <c r="G436" s="14" t="n"/>
      <c r="H436" s="14" t="n"/>
      <c r="I436" s="14" t="n"/>
      <c r="J436" s="15" t="n"/>
      <c r="K436" s="15">
        <f>IF(AND(ISNUMBER(I436),ISNUMBER(J436)),I436*J436,"")</f>
        <v/>
      </c>
      <c r="L436" s="15">
        <f>IF(AND(F436="",K436=""),"",N(F436)+IF(ISNUMBER(K436),K436,0))</f>
        <v/>
      </c>
      <c r="M436" s="14" t="n"/>
    </row>
    <row r="437">
      <c r="A437" s="13" t="n"/>
      <c r="B437" s="14" t="n"/>
      <c r="C437" s="14" t="n"/>
      <c r="D437" s="14" t="n"/>
      <c r="E437" s="14" t="n"/>
      <c r="F437" s="15" t="n"/>
      <c r="G437" s="14" t="n"/>
      <c r="H437" s="14" t="n"/>
      <c r="I437" s="14" t="n"/>
      <c r="J437" s="15" t="n"/>
      <c r="K437" s="15">
        <f>IF(AND(ISNUMBER(I437),ISNUMBER(J437)),I437*J437,"")</f>
        <v/>
      </c>
      <c r="L437" s="15">
        <f>IF(AND(F437="",K437=""),"",N(F437)+IF(ISNUMBER(K437),K437,0))</f>
        <v/>
      </c>
      <c r="M437" s="14" t="n"/>
    </row>
    <row r="438">
      <c r="A438" s="13" t="n"/>
      <c r="B438" s="14" t="n"/>
      <c r="C438" s="14" t="n"/>
      <c r="D438" s="14" t="n"/>
      <c r="E438" s="14" t="n"/>
      <c r="F438" s="15" t="n"/>
      <c r="G438" s="14" t="n"/>
      <c r="H438" s="14" t="n"/>
      <c r="I438" s="14" t="n"/>
      <c r="J438" s="15" t="n"/>
      <c r="K438" s="15">
        <f>IF(AND(ISNUMBER(I438),ISNUMBER(J438)),I438*J438,"")</f>
        <v/>
      </c>
      <c r="L438" s="15">
        <f>IF(AND(F438="",K438=""),"",N(F438)+IF(ISNUMBER(K438),K438,0))</f>
        <v/>
      </c>
      <c r="M438" s="14" t="n"/>
    </row>
    <row r="439">
      <c r="A439" s="13" t="n"/>
      <c r="B439" s="14" t="n"/>
      <c r="C439" s="14" t="n"/>
      <c r="D439" s="14" t="n"/>
      <c r="E439" s="14" t="n"/>
      <c r="F439" s="15" t="n"/>
      <c r="G439" s="14" t="n"/>
      <c r="H439" s="14" t="n"/>
      <c r="I439" s="14" t="n"/>
      <c r="J439" s="15" t="n"/>
      <c r="K439" s="15">
        <f>IF(AND(ISNUMBER(I439),ISNUMBER(J439)),I439*J439,"")</f>
        <v/>
      </c>
      <c r="L439" s="15">
        <f>IF(AND(F439="",K439=""),"",N(F439)+IF(ISNUMBER(K439),K439,0))</f>
        <v/>
      </c>
      <c r="M439" s="14" t="n"/>
    </row>
    <row r="440">
      <c r="A440" s="13" t="n"/>
      <c r="B440" s="14" t="n"/>
      <c r="C440" s="14" t="n"/>
      <c r="D440" s="14" t="n"/>
      <c r="E440" s="14" t="n"/>
      <c r="F440" s="15" t="n"/>
      <c r="G440" s="14" t="n"/>
      <c r="H440" s="14" t="n"/>
      <c r="I440" s="14" t="n"/>
      <c r="J440" s="15" t="n"/>
      <c r="K440" s="15">
        <f>IF(AND(ISNUMBER(I440),ISNUMBER(J440)),I440*J440,"")</f>
        <v/>
      </c>
      <c r="L440" s="15">
        <f>IF(AND(F440="",K440=""),"",N(F440)+IF(ISNUMBER(K440),K440,0))</f>
        <v/>
      </c>
      <c r="M440" s="14" t="n"/>
    </row>
    <row r="441">
      <c r="A441" s="13" t="n"/>
      <c r="B441" s="14" t="n"/>
      <c r="C441" s="14" t="n"/>
      <c r="D441" s="14" t="n"/>
      <c r="E441" s="14" t="n"/>
      <c r="F441" s="15" t="n"/>
      <c r="G441" s="14" t="n"/>
      <c r="H441" s="14" t="n"/>
      <c r="I441" s="14" t="n"/>
      <c r="J441" s="15" t="n"/>
      <c r="K441" s="15">
        <f>IF(AND(ISNUMBER(I441),ISNUMBER(J441)),I441*J441,"")</f>
        <v/>
      </c>
      <c r="L441" s="15">
        <f>IF(AND(F441="",K441=""),"",N(F441)+IF(ISNUMBER(K441),K441,0))</f>
        <v/>
      </c>
      <c r="M441" s="14" t="n"/>
    </row>
    <row r="442">
      <c r="A442" s="13" t="n"/>
      <c r="B442" s="14" t="n"/>
      <c r="C442" s="14" t="n"/>
      <c r="D442" s="14" t="n"/>
      <c r="E442" s="14" t="n"/>
      <c r="F442" s="15" t="n"/>
      <c r="G442" s="14" t="n"/>
      <c r="H442" s="14" t="n"/>
      <c r="I442" s="14" t="n"/>
      <c r="J442" s="15" t="n"/>
      <c r="K442" s="15">
        <f>IF(AND(ISNUMBER(I442),ISNUMBER(J442)),I442*J442,"")</f>
        <v/>
      </c>
      <c r="L442" s="15">
        <f>IF(AND(F442="",K442=""),"",N(F442)+IF(ISNUMBER(K442),K442,0))</f>
        <v/>
      </c>
      <c r="M442" s="14" t="n"/>
    </row>
    <row r="443">
      <c r="A443" s="13" t="n"/>
      <c r="B443" s="14" t="n"/>
      <c r="C443" s="14" t="n"/>
      <c r="D443" s="14" t="n"/>
      <c r="E443" s="14" t="n"/>
      <c r="F443" s="15" t="n"/>
      <c r="G443" s="14" t="n"/>
      <c r="H443" s="14" t="n"/>
      <c r="I443" s="14" t="n"/>
      <c r="J443" s="15" t="n"/>
      <c r="K443" s="15">
        <f>IF(AND(ISNUMBER(I443),ISNUMBER(J443)),I443*J443,"")</f>
        <v/>
      </c>
      <c r="L443" s="15">
        <f>IF(AND(F443="",K443=""),"",N(F443)+IF(ISNUMBER(K443),K443,0))</f>
        <v/>
      </c>
      <c r="M443" s="14" t="n"/>
    </row>
    <row r="444">
      <c r="A444" s="13" t="n"/>
      <c r="B444" s="14" t="n"/>
      <c r="C444" s="14" t="n"/>
      <c r="D444" s="14" t="n"/>
      <c r="E444" s="14" t="n"/>
      <c r="F444" s="15" t="n"/>
      <c r="G444" s="14" t="n"/>
      <c r="H444" s="14" t="n"/>
      <c r="I444" s="14" t="n"/>
      <c r="J444" s="15" t="n"/>
      <c r="K444" s="15">
        <f>IF(AND(ISNUMBER(I444),ISNUMBER(J444)),I444*J444,"")</f>
        <v/>
      </c>
      <c r="L444" s="15">
        <f>IF(AND(F444="",K444=""),"",N(F444)+IF(ISNUMBER(K444),K444,0))</f>
        <v/>
      </c>
      <c r="M444" s="14" t="n"/>
    </row>
    <row r="445">
      <c r="A445" s="13" t="n"/>
      <c r="B445" s="14" t="n"/>
      <c r="C445" s="14" t="n"/>
      <c r="D445" s="14" t="n"/>
      <c r="E445" s="14" t="n"/>
      <c r="F445" s="15" t="n"/>
      <c r="G445" s="14" t="n"/>
      <c r="H445" s="14" t="n"/>
      <c r="I445" s="14" t="n"/>
      <c r="J445" s="15" t="n"/>
      <c r="K445" s="15">
        <f>IF(AND(ISNUMBER(I445),ISNUMBER(J445)),I445*J445,"")</f>
        <v/>
      </c>
      <c r="L445" s="15">
        <f>IF(AND(F445="",K445=""),"",N(F445)+IF(ISNUMBER(K445),K445,0))</f>
        <v/>
      </c>
      <c r="M445" s="14" t="n"/>
    </row>
    <row r="446">
      <c r="A446" s="13" t="n"/>
      <c r="B446" s="14" t="n"/>
      <c r="C446" s="14" t="n"/>
      <c r="D446" s="14" t="n"/>
      <c r="E446" s="14" t="n"/>
      <c r="F446" s="15" t="n"/>
      <c r="G446" s="14" t="n"/>
      <c r="H446" s="14" t="n"/>
      <c r="I446" s="14" t="n"/>
      <c r="J446" s="15" t="n"/>
      <c r="K446" s="15">
        <f>IF(AND(ISNUMBER(I446),ISNUMBER(J446)),I446*J446,"")</f>
        <v/>
      </c>
      <c r="L446" s="15">
        <f>IF(AND(F446="",K446=""),"",N(F446)+IF(ISNUMBER(K446),K446,0))</f>
        <v/>
      </c>
      <c r="M446" s="14" t="n"/>
    </row>
    <row r="447">
      <c r="A447" s="13" t="n"/>
      <c r="B447" s="14" t="n"/>
      <c r="C447" s="14" t="n"/>
      <c r="D447" s="14" t="n"/>
      <c r="E447" s="14" t="n"/>
      <c r="F447" s="15" t="n"/>
      <c r="G447" s="14" t="n"/>
      <c r="H447" s="14" t="n"/>
      <c r="I447" s="14" t="n"/>
      <c r="J447" s="15" t="n"/>
      <c r="K447" s="15">
        <f>IF(AND(ISNUMBER(I447),ISNUMBER(J447)),I447*J447,"")</f>
        <v/>
      </c>
      <c r="L447" s="15">
        <f>IF(AND(F447="",K447=""),"",N(F447)+IF(ISNUMBER(K447),K447,0))</f>
        <v/>
      </c>
      <c r="M447" s="14" t="n"/>
    </row>
    <row r="448">
      <c r="A448" s="13" t="n"/>
      <c r="B448" s="14" t="n"/>
      <c r="C448" s="14" t="n"/>
      <c r="D448" s="14" t="n"/>
      <c r="E448" s="14" t="n"/>
      <c r="F448" s="15" t="n"/>
      <c r="G448" s="14" t="n"/>
      <c r="H448" s="14" t="n"/>
      <c r="I448" s="14" t="n"/>
      <c r="J448" s="15" t="n"/>
      <c r="K448" s="15">
        <f>IF(AND(ISNUMBER(I448),ISNUMBER(J448)),I448*J448,"")</f>
        <v/>
      </c>
      <c r="L448" s="15">
        <f>IF(AND(F448="",K448=""),"",N(F448)+IF(ISNUMBER(K448),K448,0))</f>
        <v/>
      </c>
      <c r="M448" s="14" t="n"/>
    </row>
    <row r="449">
      <c r="A449" s="13" t="n"/>
      <c r="B449" s="14" t="n"/>
      <c r="C449" s="14" t="n"/>
      <c r="D449" s="14" t="n"/>
      <c r="E449" s="14" t="n"/>
      <c r="F449" s="15" t="n"/>
      <c r="G449" s="14" t="n"/>
      <c r="H449" s="14" t="n"/>
      <c r="I449" s="14" t="n"/>
      <c r="J449" s="15" t="n"/>
      <c r="K449" s="15">
        <f>IF(AND(ISNUMBER(I449),ISNUMBER(J449)),I449*J449,"")</f>
        <v/>
      </c>
      <c r="L449" s="15">
        <f>IF(AND(F449="",K449=""),"",N(F449)+IF(ISNUMBER(K449),K449,0))</f>
        <v/>
      </c>
      <c r="M449" s="14" t="n"/>
    </row>
    <row r="450">
      <c r="A450" s="13" t="n"/>
      <c r="B450" s="14" t="n"/>
      <c r="C450" s="14" t="n"/>
      <c r="D450" s="14" t="n"/>
      <c r="E450" s="14" t="n"/>
      <c r="F450" s="15" t="n"/>
      <c r="G450" s="14" t="n"/>
      <c r="H450" s="14" t="n"/>
      <c r="I450" s="14" t="n"/>
      <c r="J450" s="15" t="n"/>
      <c r="K450" s="15">
        <f>IF(AND(ISNUMBER(I450),ISNUMBER(J450)),I450*J450,"")</f>
        <v/>
      </c>
      <c r="L450" s="15">
        <f>IF(AND(F450="",K450=""),"",N(F450)+IF(ISNUMBER(K450),K450,0))</f>
        <v/>
      </c>
      <c r="M450" s="14" t="n"/>
    </row>
    <row r="451">
      <c r="A451" s="13" t="n"/>
      <c r="B451" s="14" t="n"/>
      <c r="C451" s="14" t="n"/>
      <c r="D451" s="14" t="n"/>
      <c r="E451" s="14" t="n"/>
      <c r="F451" s="15" t="n"/>
      <c r="G451" s="14" t="n"/>
      <c r="H451" s="14" t="n"/>
      <c r="I451" s="14" t="n"/>
      <c r="J451" s="15" t="n"/>
      <c r="K451" s="15">
        <f>IF(AND(ISNUMBER(I451),ISNUMBER(J451)),I451*J451,"")</f>
        <v/>
      </c>
      <c r="L451" s="15">
        <f>IF(AND(F451="",K451=""),"",N(F451)+IF(ISNUMBER(K451),K451,0))</f>
        <v/>
      </c>
      <c r="M451" s="14" t="n"/>
    </row>
    <row r="452">
      <c r="A452" s="13" t="n"/>
      <c r="B452" s="14" t="n"/>
      <c r="C452" s="14" t="n"/>
      <c r="D452" s="14" t="n"/>
      <c r="E452" s="14" t="n"/>
      <c r="F452" s="15" t="n"/>
      <c r="G452" s="14" t="n"/>
      <c r="H452" s="14" t="n"/>
      <c r="I452" s="14" t="n"/>
      <c r="J452" s="15" t="n"/>
      <c r="K452" s="15">
        <f>IF(AND(ISNUMBER(I452),ISNUMBER(J452)),I452*J452,"")</f>
        <v/>
      </c>
      <c r="L452" s="15">
        <f>IF(AND(F452="",K452=""),"",N(F452)+IF(ISNUMBER(K452),K452,0))</f>
        <v/>
      </c>
      <c r="M452" s="14" t="n"/>
    </row>
    <row r="453">
      <c r="A453" s="13" t="n"/>
      <c r="B453" s="14" t="n"/>
      <c r="C453" s="14" t="n"/>
      <c r="D453" s="14" t="n"/>
      <c r="E453" s="14" t="n"/>
      <c r="F453" s="15" t="n"/>
      <c r="G453" s="14" t="n"/>
      <c r="H453" s="14" t="n"/>
      <c r="I453" s="14" t="n"/>
      <c r="J453" s="15" t="n"/>
      <c r="K453" s="15">
        <f>IF(AND(ISNUMBER(I453),ISNUMBER(J453)),I453*J453,"")</f>
        <v/>
      </c>
      <c r="L453" s="15">
        <f>IF(AND(F453="",K453=""),"",N(F453)+IF(ISNUMBER(K453),K453,0))</f>
        <v/>
      </c>
      <c r="M453" s="14" t="n"/>
    </row>
    <row r="454">
      <c r="A454" s="13" t="n"/>
      <c r="B454" s="14" t="n"/>
      <c r="C454" s="14" t="n"/>
      <c r="D454" s="14" t="n"/>
      <c r="E454" s="14" t="n"/>
      <c r="F454" s="15" t="n"/>
      <c r="G454" s="14" t="n"/>
      <c r="H454" s="14" t="n"/>
      <c r="I454" s="14" t="n"/>
      <c r="J454" s="15" t="n"/>
      <c r="K454" s="15">
        <f>IF(AND(ISNUMBER(I454),ISNUMBER(J454)),I454*J454,"")</f>
        <v/>
      </c>
      <c r="L454" s="15">
        <f>IF(AND(F454="",K454=""),"",N(F454)+IF(ISNUMBER(K454),K454,0))</f>
        <v/>
      </c>
      <c r="M454" s="14" t="n"/>
    </row>
    <row r="455">
      <c r="A455" s="13" t="n"/>
      <c r="B455" s="14" t="n"/>
      <c r="C455" s="14" t="n"/>
      <c r="D455" s="14" t="n"/>
      <c r="E455" s="14" t="n"/>
      <c r="F455" s="15" t="n"/>
      <c r="G455" s="14" t="n"/>
      <c r="H455" s="14" t="n"/>
      <c r="I455" s="14" t="n"/>
      <c r="J455" s="15" t="n"/>
      <c r="K455" s="15">
        <f>IF(AND(ISNUMBER(I455),ISNUMBER(J455)),I455*J455,"")</f>
        <v/>
      </c>
      <c r="L455" s="15">
        <f>IF(AND(F455="",K455=""),"",N(F455)+IF(ISNUMBER(K455),K455,0))</f>
        <v/>
      </c>
      <c r="M455" s="14" t="n"/>
    </row>
    <row r="456">
      <c r="A456" s="13" t="n"/>
      <c r="B456" s="14" t="n"/>
      <c r="C456" s="14" t="n"/>
      <c r="D456" s="14" t="n"/>
      <c r="E456" s="14" t="n"/>
      <c r="F456" s="15" t="n"/>
      <c r="G456" s="14" t="n"/>
      <c r="H456" s="14" t="n"/>
      <c r="I456" s="14" t="n"/>
      <c r="J456" s="15" t="n"/>
      <c r="K456" s="15">
        <f>IF(AND(ISNUMBER(I456),ISNUMBER(J456)),I456*J456,"")</f>
        <v/>
      </c>
      <c r="L456" s="15">
        <f>IF(AND(F456="",K456=""),"",N(F456)+IF(ISNUMBER(K456),K456,0))</f>
        <v/>
      </c>
      <c r="M456" s="14" t="n"/>
    </row>
    <row r="457">
      <c r="A457" s="13" t="n"/>
      <c r="B457" s="14" t="n"/>
      <c r="C457" s="14" t="n"/>
      <c r="D457" s="14" t="n"/>
      <c r="E457" s="14" t="n"/>
      <c r="F457" s="15" t="n"/>
      <c r="G457" s="14" t="n"/>
      <c r="H457" s="14" t="n"/>
      <c r="I457" s="14" t="n"/>
      <c r="J457" s="15" t="n"/>
      <c r="K457" s="15">
        <f>IF(AND(ISNUMBER(I457),ISNUMBER(J457)),I457*J457,"")</f>
        <v/>
      </c>
      <c r="L457" s="15">
        <f>IF(AND(F457="",K457=""),"",N(F457)+IF(ISNUMBER(K457),K457,0))</f>
        <v/>
      </c>
      <c r="M457" s="14" t="n"/>
    </row>
    <row r="458">
      <c r="A458" s="13" t="n"/>
      <c r="B458" s="14" t="n"/>
      <c r="C458" s="14" t="n"/>
      <c r="D458" s="14" t="n"/>
      <c r="E458" s="14" t="n"/>
      <c r="F458" s="15" t="n"/>
      <c r="G458" s="14" t="n"/>
      <c r="H458" s="14" t="n"/>
      <c r="I458" s="14" t="n"/>
      <c r="J458" s="15" t="n"/>
      <c r="K458" s="15">
        <f>IF(AND(ISNUMBER(I458),ISNUMBER(J458)),I458*J458,"")</f>
        <v/>
      </c>
      <c r="L458" s="15">
        <f>IF(AND(F458="",K458=""),"",N(F458)+IF(ISNUMBER(K458),K458,0))</f>
        <v/>
      </c>
      <c r="M458" s="14" t="n"/>
    </row>
    <row r="459">
      <c r="A459" s="13" t="n"/>
      <c r="B459" s="14" t="n"/>
      <c r="C459" s="14" t="n"/>
      <c r="D459" s="14" t="n"/>
      <c r="E459" s="14" t="n"/>
      <c r="F459" s="15" t="n"/>
      <c r="G459" s="14" t="n"/>
      <c r="H459" s="14" t="n"/>
      <c r="I459" s="14" t="n"/>
      <c r="J459" s="15" t="n"/>
      <c r="K459" s="15">
        <f>IF(AND(ISNUMBER(I459),ISNUMBER(J459)),I459*J459,"")</f>
        <v/>
      </c>
      <c r="L459" s="15">
        <f>IF(AND(F459="",K459=""),"",N(F459)+IF(ISNUMBER(K459),K459,0))</f>
        <v/>
      </c>
      <c r="M459" s="14" t="n"/>
    </row>
    <row r="460">
      <c r="A460" s="13" t="n"/>
      <c r="B460" s="14" t="n"/>
      <c r="C460" s="14" t="n"/>
      <c r="D460" s="14" t="n"/>
      <c r="E460" s="14" t="n"/>
      <c r="F460" s="15" t="n"/>
      <c r="G460" s="14" t="n"/>
      <c r="H460" s="14" t="n"/>
      <c r="I460" s="14" t="n"/>
      <c r="J460" s="15" t="n"/>
      <c r="K460" s="15">
        <f>IF(AND(ISNUMBER(I460),ISNUMBER(J460)),I460*J460,"")</f>
        <v/>
      </c>
      <c r="L460" s="15">
        <f>IF(AND(F460="",K460=""),"",N(F460)+IF(ISNUMBER(K460),K460,0))</f>
        <v/>
      </c>
      <c r="M460" s="14" t="n"/>
    </row>
    <row r="461">
      <c r="A461" s="13" t="n"/>
      <c r="B461" s="14" t="n"/>
      <c r="C461" s="14" t="n"/>
      <c r="D461" s="14" t="n"/>
      <c r="E461" s="14" t="n"/>
      <c r="F461" s="15" t="n"/>
      <c r="G461" s="14" t="n"/>
      <c r="H461" s="14" t="n"/>
      <c r="I461" s="14" t="n"/>
      <c r="J461" s="15" t="n"/>
      <c r="K461" s="15">
        <f>IF(AND(ISNUMBER(I461),ISNUMBER(J461)),I461*J461,"")</f>
        <v/>
      </c>
      <c r="L461" s="15">
        <f>IF(AND(F461="",K461=""),"",N(F461)+IF(ISNUMBER(K461),K461,0))</f>
        <v/>
      </c>
      <c r="M461" s="14" t="n"/>
    </row>
    <row r="462">
      <c r="A462" s="13" t="n"/>
      <c r="B462" s="14" t="n"/>
      <c r="C462" s="14" t="n"/>
      <c r="D462" s="14" t="n"/>
      <c r="E462" s="14" t="n"/>
      <c r="F462" s="15" t="n"/>
      <c r="G462" s="14" t="n"/>
      <c r="H462" s="14" t="n"/>
      <c r="I462" s="14" t="n"/>
      <c r="J462" s="15" t="n"/>
      <c r="K462" s="15">
        <f>IF(AND(ISNUMBER(I462),ISNUMBER(J462)),I462*J462,"")</f>
        <v/>
      </c>
      <c r="L462" s="15">
        <f>IF(AND(F462="",K462=""),"",N(F462)+IF(ISNUMBER(K462),K462,0))</f>
        <v/>
      </c>
      <c r="M462" s="14" t="n"/>
    </row>
    <row r="463">
      <c r="A463" s="13" t="n"/>
      <c r="B463" s="14" t="n"/>
      <c r="C463" s="14" t="n"/>
      <c r="D463" s="14" t="n"/>
      <c r="E463" s="14" t="n"/>
      <c r="F463" s="15" t="n"/>
      <c r="G463" s="14" t="n"/>
      <c r="H463" s="14" t="n"/>
      <c r="I463" s="14" t="n"/>
      <c r="J463" s="15" t="n"/>
      <c r="K463" s="15">
        <f>IF(AND(ISNUMBER(I463),ISNUMBER(J463)),I463*J463,"")</f>
        <v/>
      </c>
      <c r="L463" s="15">
        <f>IF(AND(F463="",K463=""),"",N(F463)+IF(ISNUMBER(K463),K463,0))</f>
        <v/>
      </c>
      <c r="M463" s="14" t="n"/>
    </row>
    <row r="464">
      <c r="A464" s="13" t="n"/>
      <c r="B464" s="14" t="n"/>
      <c r="C464" s="14" t="n"/>
      <c r="D464" s="14" t="n"/>
      <c r="E464" s="14" t="n"/>
      <c r="F464" s="15" t="n"/>
      <c r="G464" s="14" t="n"/>
      <c r="H464" s="14" t="n"/>
      <c r="I464" s="14" t="n"/>
      <c r="J464" s="15" t="n"/>
      <c r="K464" s="15">
        <f>IF(AND(ISNUMBER(I464),ISNUMBER(J464)),I464*J464,"")</f>
        <v/>
      </c>
      <c r="L464" s="15">
        <f>IF(AND(F464="",K464=""),"",N(F464)+IF(ISNUMBER(K464),K464,0))</f>
        <v/>
      </c>
      <c r="M464" s="14" t="n"/>
    </row>
    <row r="465">
      <c r="A465" s="13" t="n"/>
      <c r="B465" s="14" t="n"/>
      <c r="C465" s="14" t="n"/>
      <c r="D465" s="14" t="n"/>
      <c r="E465" s="14" t="n"/>
      <c r="F465" s="15" t="n"/>
      <c r="G465" s="14" t="n"/>
      <c r="H465" s="14" t="n"/>
      <c r="I465" s="14" t="n"/>
      <c r="J465" s="15" t="n"/>
      <c r="K465" s="15">
        <f>IF(AND(ISNUMBER(I465),ISNUMBER(J465)),I465*J465,"")</f>
        <v/>
      </c>
      <c r="L465" s="15">
        <f>IF(AND(F465="",K465=""),"",N(F465)+IF(ISNUMBER(K465),K465,0))</f>
        <v/>
      </c>
      <c r="M465" s="14" t="n"/>
    </row>
    <row r="466">
      <c r="A466" s="13" t="n"/>
      <c r="B466" s="14" t="n"/>
      <c r="C466" s="14" t="n"/>
      <c r="D466" s="14" t="n"/>
      <c r="E466" s="14" t="n"/>
      <c r="F466" s="15" t="n"/>
      <c r="G466" s="14" t="n"/>
      <c r="H466" s="14" t="n"/>
      <c r="I466" s="14" t="n"/>
      <c r="J466" s="15" t="n"/>
      <c r="K466" s="15">
        <f>IF(AND(ISNUMBER(I466),ISNUMBER(J466)),I466*J466,"")</f>
        <v/>
      </c>
      <c r="L466" s="15">
        <f>IF(AND(F466="",K466=""),"",N(F466)+IF(ISNUMBER(K466),K466,0))</f>
        <v/>
      </c>
      <c r="M466" s="14" t="n"/>
    </row>
    <row r="467">
      <c r="A467" s="13" t="n"/>
      <c r="B467" s="14" t="n"/>
      <c r="C467" s="14" t="n"/>
      <c r="D467" s="14" t="n"/>
      <c r="E467" s="14" t="n"/>
      <c r="F467" s="15" t="n"/>
      <c r="G467" s="14" t="n"/>
      <c r="H467" s="14" t="n"/>
      <c r="I467" s="14" t="n"/>
      <c r="J467" s="15" t="n"/>
      <c r="K467" s="15">
        <f>IF(AND(ISNUMBER(I467),ISNUMBER(J467)),I467*J467,"")</f>
        <v/>
      </c>
      <c r="L467" s="15">
        <f>IF(AND(F467="",K467=""),"",N(F467)+IF(ISNUMBER(K467),K467,0))</f>
        <v/>
      </c>
      <c r="M467" s="14" t="n"/>
    </row>
    <row r="468">
      <c r="A468" s="13" t="n"/>
      <c r="B468" s="14" t="n"/>
      <c r="C468" s="14" t="n"/>
      <c r="D468" s="14" t="n"/>
      <c r="E468" s="14" t="n"/>
      <c r="F468" s="15" t="n"/>
      <c r="G468" s="14" t="n"/>
      <c r="H468" s="14" t="n"/>
      <c r="I468" s="14" t="n"/>
      <c r="J468" s="15" t="n"/>
      <c r="K468" s="15">
        <f>IF(AND(ISNUMBER(I468),ISNUMBER(J468)),I468*J468,"")</f>
        <v/>
      </c>
      <c r="L468" s="15">
        <f>IF(AND(F468="",K468=""),"",N(F468)+IF(ISNUMBER(K468),K468,0))</f>
        <v/>
      </c>
      <c r="M468" s="14" t="n"/>
    </row>
    <row r="469">
      <c r="A469" s="13" t="n"/>
      <c r="B469" s="14" t="n"/>
      <c r="C469" s="14" t="n"/>
      <c r="D469" s="14" t="n"/>
      <c r="E469" s="14" t="n"/>
      <c r="F469" s="15" t="n"/>
      <c r="G469" s="14" t="n"/>
      <c r="H469" s="14" t="n"/>
      <c r="I469" s="14" t="n"/>
      <c r="J469" s="15" t="n"/>
      <c r="K469" s="15">
        <f>IF(AND(ISNUMBER(I469),ISNUMBER(J469)),I469*J469,"")</f>
        <v/>
      </c>
      <c r="L469" s="15">
        <f>IF(AND(F469="",K469=""),"",N(F469)+IF(ISNUMBER(K469),K469,0))</f>
        <v/>
      </c>
      <c r="M469" s="14" t="n"/>
    </row>
    <row r="470">
      <c r="A470" s="13" t="n"/>
      <c r="B470" s="14" t="n"/>
      <c r="C470" s="14" t="n"/>
      <c r="D470" s="14" t="n"/>
      <c r="E470" s="14" t="n"/>
      <c r="F470" s="15" t="n"/>
      <c r="G470" s="14" t="n"/>
      <c r="H470" s="14" t="n"/>
      <c r="I470" s="14" t="n"/>
      <c r="J470" s="15" t="n"/>
      <c r="K470" s="15">
        <f>IF(AND(ISNUMBER(I470),ISNUMBER(J470)),I470*J470,"")</f>
        <v/>
      </c>
      <c r="L470" s="15">
        <f>IF(AND(F470="",K470=""),"",N(F470)+IF(ISNUMBER(K470),K470,0))</f>
        <v/>
      </c>
      <c r="M470" s="14" t="n"/>
    </row>
    <row r="471">
      <c r="A471" s="13" t="n"/>
      <c r="B471" s="14" t="n"/>
      <c r="C471" s="14" t="n"/>
      <c r="D471" s="14" t="n"/>
      <c r="E471" s="14" t="n"/>
      <c r="F471" s="15" t="n"/>
      <c r="G471" s="14" t="n"/>
      <c r="H471" s="14" t="n"/>
      <c r="I471" s="14" t="n"/>
      <c r="J471" s="15" t="n"/>
      <c r="K471" s="15">
        <f>IF(AND(ISNUMBER(I471),ISNUMBER(J471)),I471*J471,"")</f>
        <v/>
      </c>
      <c r="L471" s="15">
        <f>IF(AND(F471="",K471=""),"",N(F471)+IF(ISNUMBER(K471),K471,0))</f>
        <v/>
      </c>
      <c r="M471" s="14" t="n"/>
    </row>
    <row r="472">
      <c r="A472" s="13" t="n"/>
      <c r="B472" s="14" t="n"/>
      <c r="C472" s="14" t="n"/>
      <c r="D472" s="14" t="n"/>
      <c r="E472" s="14" t="n"/>
      <c r="F472" s="15" t="n"/>
      <c r="G472" s="14" t="n"/>
      <c r="H472" s="14" t="n"/>
      <c r="I472" s="14" t="n"/>
      <c r="J472" s="15" t="n"/>
      <c r="K472" s="15">
        <f>IF(AND(ISNUMBER(I472),ISNUMBER(J472)),I472*J472,"")</f>
        <v/>
      </c>
      <c r="L472" s="15">
        <f>IF(AND(F472="",K472=""),"",N(F472)+IF(ISNUMBER(K472),K472,0))</f>
        <v/>
      </c>
      <c r="M472" s="14" t="n"/>
    </row>
    <row r="473">
      <c r="A473" s="13" t="n"/>
      <c r="B473" s="14" t="n"/>
      <c r="C473" s="14" t="n"/>
      <c r="D473" s="14" t="n"/>
      <c r="E473" s="14" t="n"/>
      <c r="F473" s="15" t="n"/>
      <c r="G473" s="14" t="n"/>
      <c r="H473" s="14" t="n"/>
      <c r="I473" s="14" t="n"/>
      <c r="J473" s="15" t="n"/>
      <c r="K473" s="15">
        <f>IF(AND(ISNUMBER(I473),ISNUMBER(J473)),I473*J473,"")</f>
        <v/>
      </c>
      <c r="L473" s="15">
        <f>IF(AND(F473="",K473=""),"",N(F473)+IF(ISNUMBER(K473),K473,0))</f>
        <v/>
      </c>
      <c r="M473" s="14" t="n"/>
    </row>
    <row r="474">
      <c r="A474" s="13" t="n"/>
      <c r="B474" s="14" t="n"/>
      <c r="C474" s="14" t="n"/>
      <c r="D474" s="14" t="n"/>
      <c r="E474" s="14" t="n"/>
      <c r="F474" s="15" t="n"/>
      <c r="G474" s="14" t="n"/>
      <c r="H474" s="14" t="n"/>
      <c r="I474" s="14" t="n"/>
      <c r="J474" s="15" t="n"/>
      <c r="K474" s="15">
        <f>IF(AND(ISNUMBER(I474),ISNUMBER(J474)),I474*J474,"")</f>
        <v/>
      </c>
      <c r="L474" s="15">
        <f>IF(AND(F474="",K474=""),"",N(F474)+IF(ISNUMBER(K474),K474,0))</f>
        <v/>
      </c>
      <c r="M474" s="14" t="n"/>
    </row>
    <row r="475">
      <c r="A475" s="13" t="n"/>
      <c r="B475" s="14" t="n"/>
      <c r="C475" s="14" t="n"/>
      <c r="D475" s="14" t="n"/>
      <c r="E475" s="14" t="n"/>
      <c r="F475" s="15" t="n"/>
      <c r="G475" s="14" t="n"/>
      <c r="H475" s="14" t="n"/>
      <c r="I475" s="14" t="n"/>
      <c r="J475" s="15" t="n"/>
      <c r="K475" s="15">
        <f>IF(AND(ISNUMBER(I475),ISNUMBER(J475)),I475*J475,"")</f>
        <v/>
      </c>
      <c r="L475" s="15">
        <f>IF(AND(F475="",K475=""),"",N(F475)+IF(ISNUMBER(K475),K475,0))</f>
        <v/>
      </c>
      <c r="M475" s="14" t="n"/>
    </row>
    <row r="476">
      <c r="A476" s="13" t="n"/>
      <c r="B476" s="14" t="n"/>
      <c r="C476" s="14" t="n"/>
      <c r="D476" s="14" t="n"/>
      <c r="E476" s="14" t="n"/>
      <c r="F476" s="15" t="n"/>
      <c r="G476" s="14" t="n"/>
      <c r="H476" s="14" t="n"/>
      <c r="I476" s="14" t="n"/>
      <c r="J476" s="15" t="n"/>
      <c r="K476" s="15">
        <f>IF(AND(ISNUMBER(I476),ISNUMBER(J476)),I476*J476,"")</f>
        <v/>
      </c>
      <c r="L476" s="15">
        <f>IF(AND(F476="",K476=""),"",N(F476)+IF(ISNUMBER(K476),K476,0))</f>
        <v/>
      </c>
      <c r="M476" s="14" t="n"/>
    </row>
    <row r="477">
      <c r="A477" s="13" t="n"/>
      <c r="B477" s="14" t="n"/>
      <c r="C477" s="14" t="n"/>
      <c r="D477" s="14" t="n"/>
      <c r="E477" s="14" t="n"/>
      <c r="F477" s="15" t="n"/>
      <c r="G477" s="14" t="n"/>
      <c r="H477" s="14" t="n"/>
      <c r="I477" s="14" t="n"/>
      <c r="J477" s="15" t="n"/>
      <c r="K477" s="15">
        <f>IF(AND(ISNUMBER(I477),ISNUMBER(J477)),I477*J477,"")</f>
        <v/>
      </c>
      <c r="L477" s="15">
        <f>IF(AND(F477="",K477=""),"",N(F477)+IF(ISNUMBER(K477),K477,0))</f>
        <v/>
      </c>
      <c r="M477" s="14" t="n"/>
    </row>
    <row r="478">
      <c r="A478" s="13" t="n"/>
      <c r="B478" s="14" t="n"/>
      <c r="C478" s="14" t="n"/>
      <c r="D478" s="14" t="n"/>
      <c r="E478" s="14" t="n"/>
      <c r="F478" s="15" t="n"/>
      <c r="G478" s="14" t="n"/>
      <c r="H478" s="14" t="n"/>
      <c r="I478" s="14" t="n"/>
      <c r="J478" s="15" t="n"/>
      <c r="K478" s="15">
        <f>IF(AND(ISNUMBER(I478),ISNUMBER(J478)),I478*J478,"")</f>
        <v/>
      </c>
      <c r="L478" s="15">
        <f>IF(AND(F478="",K478=""),"",N(F478)+IF(ISNUMBER(K478),K478,0))</f>
        <v/>
      </c>
      <c r="M478" s="14" t="n"/>
    </row>
    <row r="479">
      <c r="A479" s="13" t="n"/>
      <c r="B479" s="14" t="n"/>
      <c r="C479" s="14" t="n"/>
      <c r="D479" s="14" t="n"/>
      <c r="E479" s="14" t="n"/>
      <c r="F479" s="15" t="n"/>
      <c r="G479" s="14" t="n"/>
      <c r="H479" s="14" t="n"/>
      <c r="I479" s="14" t="n"/>
      <c r="J479" s="15" t="n"/>
      <c r="K479" s="15">
        <f>IF(AND(ISNUMBER(I479),ISNUMBER(J479)),I479*J479,"")</f>
        <v/>
      </c>
      <c r="L479" s="15">
        <f>IF(AND(F479="",K479=""),"",N(F479)+IF(ISNUMBER(K479),K479,0))</f>
        <v/>
      </c>
      <c r="M479" s="14" t="n"/>
    </row>
    <row r="480">
      <c r="A480" s="13" t="n"/>
      <c r="B480" s="14" t="n"/>
      <c r="C480" s="14" t="n"/>
      <c r="D480" s="14" t="n"/>
      <c r="E480" s="14" t="n"/>
      <c r="F480" s="15" t="n"/>
      <c r="G480" s="14" t="n"/>
      <c r="H480" s="14" t="n"/>
      <c r="I480" s="14" t="n"/>
      <c r="J480" s="15" t="n"/>
      <c r="K480" s="15">
        <f>IF(AND(ISNUMBER(I480),ISNUMBER(J480)),I480*J480,"")</f>
        <v/>
      </c>
      <c r="L480" s="15">
        <f>IF(AND(F480="",K480=""),"",N(F480)+IF(ISNUMBER(K480),K480,0))</f>
        <v/>
      </c>
      <c r="M480" s="14" t="n"/>
    </row>
    <row r="481">
      <c r="A481" s="13" t="n"/>
      <c r="B481" s="14" t="n"/>
      <c r="C481" s="14" t="n"/>
      <c r="D481" s="14" t="n"/>
      <c r="E481" s="14" t="n"/>
      <c r="F481" s="15" t="n"/>
      <c r="G481" s="14" t="n"/>
      <c r="H481" s="14" t="n"/>
      <c r="I481" s="14" t="n"/>
      <c r="J481" s="15" t="n"/>
      <c r="K481" s="15">
        <f>IF(AND(ISNUMBER(I481),ISNUMBER(J481)),I481*J481,"")</f>
        <v/>
      </c>
      <c r="L481" s="15">
        <f>IF(AND(F481="",K481=""),"",N(F481)+IF(ISNUMBER(K481),K481,0))</f>
        <v/>
      </c>
      <c r="M481" s="14" t="n"/>
    </row>
    <row r="482">
      <c r="A482" s="13" t="n"/>
      <c r="B482" s="14" t="n"/>
      <c r="C482" s="14" t="n"/>
      <c r="D482" s="14" t="n"/>
      <c r="E482" s="14" t="n"/>
      <c r="F482" s="15" t="n"/>
      <c r="G482" s="14" t="n"/>
      <c r="H482" s="14" t="n"/>
      <c r="I482" s="14" t="n"/>
      <c r="J482" s="15" t="n"/>
      <c r="K482" s="15">
        <f>IF(AND(ISNUMBER(I482),ISNUMBER(J482)),I482*J482,"")</f>
        <v/>
      </c>
      <c r="L482" s="15">
        <f>IF(AND(F482="",K482=""),"",N(F482)+IF(ISNUMBER(K482),K482,0))</f>
        <v/>
      </c>
      <c r="M482" s="14" t="n"/>
    </row>
    <row r="483">
      <c r="A483" s="13" t="n"/>
      <c r="B483" s="14" t="n"/>
      <c r="C483" s="14" t="n"/>
      <c r="D483" s="14" t="n"/>
      <c r="E483" s="14" t="n"/>
      <c r="F483" s="15" t="n"/>
      <c r="G483" s="14" t="n"/>
      <c r="H483" s="14" t="n"/>
      <c r="I483" s="14" t="n"/>
      <c r="J483" s="15" t="n"/>
      <c r="K483" s="15">
        <f>IF(AND(ISNUMBER(I483),ISNUMBER(J483)),I483*J483,"")</f>
        <v/>
      </c>
      <c r="L483" s="15">
        <f>IF(AND(F483="",K483=""),"",N(F483)+IF(ISNUMBER(K483),K483,0))</f>
        <v/>
      </c>
      <c r="M483" s="14" t="n"/>
    </row>
    <row r="484">
      <c r="A484" s="13" t="n"/>
      <c r="B484" s="14" t="n"/>
      <c r="C484" s="14" t="n"/>
      <c r="D484" s="14" t="n"/>
      <c r="E484" s="14" t="n"/>
      <c r="F484" s="15" t="n"/>
      <c r="G484" s="14" t="n"/>
      <c r="H484" s="14" t="n"/>
      <c r="I484" s="14" t="n"/>
      <c r="J484" s="15" t="n"/>
      <c r="K484" s="15">
        <f>IF(AND(ISNUMBER(I484),ISNUMBER(J484)),I484*J484,"")</f>
        <v/>
      </c>
      <c r="L484" s="15">
        <f>IF(AND(F484="",K484=""),"",N(F484)+IF(ISNUMBER(K484),K484,0))</f>
        <v/>
      </c>
      <c r="M484" s="14" t="n"/>
    </row>
    <row r="485">
      <c r="A485" s="13" t="n"/>
      <c r="B485" s="14" t="n"/>
      <c r="C485" s="14" t="n"/>
      <c r="D485" s="14" t="n"/>
      <c r="E485" s="14" t="n"/>
      <c r="F485" s="15" t="n"/>
      <c r="G485" s="14" t="n"/>
      <c r="H485" s="14" t="n"/>
      <c r="I485" s="14" t="n"/>
      <c r="J485" s="15" t="n"/>
      <c r="K485" s="15">
        <f>IF(AND(ISNUMBER(I485),ISNUMBER(J485)),I485*J485,"")</f>
        <v/>
      </c>
      <c r="L485" s="15">
        <f>IF(AND(F485="",K485=""),"",N(F485)+IF(ISNUMBER(K485),K485,0))</f>
        <v/>
      </c>
      <c r="M485" s="14" t="n"/>
    </row>
    <row r="486">
      <c r="A486" s="13" t="n"/>
      <c r="B486" s="14" t="n"/>
      <c r="C486" s="14" t="n"/>
      <c r="D486" s="14" t="n"/>
      <c r="E486" s="14" t="n"/>
      <c r="F486" s="15" t="n"/>
      <c r="G486" s="14" t="n"/>
      <c r="H486" s="14" t="n"/>
      <c r="I486" s="14" t="n"/>
      <c r="J486" s="15" t="n"/>
      <c r="K486" s="15">
        <f>IF(AND(ISNUMBER(I486),ISNUMBER(J486)),I486*J486,"")</f>
        <v/>
      </c>
      <c r="L486" s="15">
        <f>IF(AND(F486="",K486=""),"",N(F486)+IF(ISNUMBER(K486),K486,0))</f>
        <v/>
      </c>
      <c r="M486" s="14" t="n"/>
    </row>
    <row r="487">
      <c r="A487" s="13" t="n"/>
      <c r="B487" s="14" t="n"/>
      <c r="C487" s="14" t="n"/>
      <c r="D487" s="14" t="n"/>
      <c r="E487" s="14" t="n"/>
      <c r="F487" s="15" t="n"/>
      <c r="G487" s="14" t="n"/>
      <c r="H487" s="14" t="n"/>
      <c r="I487" s="14" t="n"/>
      <c r="J487" s="15" t="n"/>
      <c r="K487" s="15">
        <f>IF(AND(ISNUMBER(I487),ISNUMBER(J487)),I487*J487,"")</f>
        <v/>
      </c>
      <c r="L487" s="15">
        <f>IF(AND(F487="",K487=""),"",N(F487)+IF(ISNUMBER(K487),K487,0))</f>
        <v/>
      </c>
      <c r="M487" s="14" t="n"/>
    </row>
    <row r="488">
      <c r="A488" s="13" t="n"/>
      <c r="B488" s="14" t="n"/>
      <c r="C488" s="14" t="n"/>
      <c r="D488" s="14" t="n"/>
      <c r="E488" s="14" t="n"/>
      <c r="F488" s="15" t="n"/>
      <c r="G488" s="14" t="n"/>
      <c r="H488" s="14" t="n"/>
      <c r="I488" s="14" t="n"/>
      <c r="J488" s="15" t="n"/>
      <c r="K488" s="15">
        <f>IF(AND(ISNUMBER(I488),ISNUMBER(J488)),I488*J488,"")</f>
        <v/>
      </c>
      <c r="L488" s="15">
        <f>IF(AND(F488="",K488=""),"",N(F488)+IF(ISNUMBER(K488),K488,0))</f>
        <v/>
      </c>
      <c r="M488" s="14" t="n"/>
    </row>
    <row r="489">
      <c r="A489" s="13" t="n"/>
      <c r="B489" s="14" t="n"/>
      <c r="C489" s="14" t="n"/>
      <c r="D489" s="14" t="n"/>
      <c r="E489" s="14" t="n"/>
      <c r="F489" s="15" t="n"/>
      <c r="G489" s="14" t="n"/>
      <c r="H489" s="14" t="n"/>
      <c r="I489" s="14" t="n"/>
      <c r="J489" s="15" t="n"/>
      <c r="K489" s="15">
        <f>IF(AND(ISNUMBER(I489),ISNUMBER(J489)),I489*J489,"")</f>
        <v/>
      </c>
      <c r="L489" s="15">
        <f>IF(AND(F489="",K489=""),"",N(F489)+IF(ISNUMBER(K489),K489,0))</f>
        <v/>
      </c>
      <c r="M489" s="14" t="n"/>
    </row>
    <row r="490">
      <c r="A490" s="13" t="n"/>
      <c r="B490" s="14" t="n"/>
      <c r="C490" s="14" t="n"/>
      <c r="D490" s="14" t="n"/>
      <c r="E490" s="14" t="n"/>
      <c r="F490" s="15" t="n"/>
      <c r="G490" s="14" t="n"/>
      <c r="H490" s="14" t="n"/>
      <c r="I490" s="14" t="n"/>
      <c r="J490" s="15" t="n"/>
      <c r="K490" s="15">
        <f>IF(AND(ISNUMBER(I490),ISNUMBER(J490)),I490*J490,"")</f>
        <v/>
      </c>
      <c r="L490" s="15">
        <f>IF(AND(F490="",K490=""),"",N(F490)+IF(ISNUMBER(K490),K490,0))</f>
        <v/>
      </c>
      <c r="M490" s="14" t="n"/>
    </row>
    <row r="491">
      <c r="A491" s="13" t="n"/>
      <c r="B491" s="14" t="n"/>
      <c r="C491" s="14" t="n"/>
      <c r="D491" s="14" t="n"/>
      <c r="E491" s="14" t="n"/>
      <c r="F491" s="15" t="n"/>
      <c r="G491" s="14" t="n"/>
      <c r="H491" s="14" t="n"/>
      <c r="I491" s="14" t="n"/>
      <c r="J491" s="15" t="n"/>
      <c r="K491" s="15">
        <f>IF(AND(ISNUMBER(I491),ISNUMBER(J491)),I491*J491,"")</f>
        <v/>
      </c>
      <c r="L491" s="15">
        <f>IF(AND(F491="",K491=""),"",N(F491)+IF(ISNUMBER(K491),K491,0))</f>
        <v/>
      </c>
      <c r="M491" s="14" t="n"/>
    </row>
    <row r="492">
      <c r="A492" s="13" t="n"/>
      <c r="B492" s="14" t="n"/>
      <c r="C492" s="14" t="n"/>
      <c r="D492" s="14" t="n"/>
      <c r="E492" s="14" t="n"/>
      <c r="F492" s="15" t="n"/>
      <c r="G492" s="14" t="n"/>
      <c r="H492" s="14" t="n"/>
      <c r="I492" s="14" t="n"/>
      <c r="J492" s="15" t="n"/>
      <c r="K492" s="15">
        <f>IF(AND(ISNUMBER(I492),ISNUMBER(J492)),I492*J492,"")</f>
        <v/>
      </c>
      <c r="L492" s="15">
        <f>IF(AND(F492="",K492=""),"",N(F492)+IF(ISNUMBER(K492),K492,0))</f>
        <v/>
      </c>
      <c r="M492" s="14" t="n"/>
    </row>
    <row r="493">
      <c r="A493" s="13" t="n"/>
      <c r="B493" s="14" t="n"/>
      <c r="C493" s="14" t="n"/>
      <c r="D493" s="14" t="n"/>
      <c r="E493" s="14" t="n"/>
      <c r="F493" s="15" t="n"/>
      <c r="G493" s="14" t="n"/>
      <c r="H493" s="14" t="n"/>
      <c r="I493" s="14" t="n"/>
      <c r="J493" s="15" t="n"/>
      <c r="K493" s="15">
        <f>IF(AND(ISNUMBER(I493),ISNUMBER(J493)),I493*J493,"")</f>
        <v/>
      </c>
      <c r="L493" s="15">
        <f>IF(AND(F493="",K493=""),"",N(F493)+IF(ISNUMBER(K493),K493,0))</f>
        <v/>
      </c>
      <c r="M493" s="14" t="n"/>
    </row>
    <row r="494">
      <c r="A494" s="13" t="n"/>
      <c r="B494" s="14" t="n"/>
      <c r="C494" s="14" t="n"/>
      <c r="D494" s="14" t="n"/>
      <c r="E494" s="14" t="n"/>
      <c r="F494" s="15" t="n"/>
      <c r="G494" s="14" t="n"/>
      <c r="H494" s="14" t="n"/>
      <c r="I494" s="14" t="n"/>
      <c r="J494" s="15" t="n"/>
      <c r="K494" s="15">
        <f>IF(AND(ISNUMBER(I494),ISNUMBER(J494)),I494*J494,"")</f>
        <v/>
      </c>
      <c r="L494" s="15">
        <f>IF(AND(F494="",K494=""),"",N(F494)+IF(ISNUMBER(K494),K494,0))</f>
        <v/>
      </c>
      <c r="M494" s="14" t="n"/>
    </row>
    <row r="495">
      <c r="A495" s="13" t="n"/>
      <c r="B495" s="14" t="n"/>
      <c r="C495" s="14" t="n"/>
      <c r="D495" s="14" t="n"/>
      <c r="E495" s="14" t="n"/>
      <c r="F495" s="15" t="n"/>
      <c r="G495" s="14" t="n"/>
      <c r="H495" s="14" t="n"/>
      <c r="I495" s="14" t="n"/>
      <c r="J495" s="15" t="n"/>
      <c r="K495" s="15">
        <f>IF(AND(ISNUMBER(I495),ISNUMBER(J495)),I495*J495,"")</f>
        <v/>
      </c>
      <c r="L495" s="15">
        <f>IF(AND(F495="",K495=""),"",N(F495)+IF(ISNUMBER(K495),K495,0))</f>
        <v/>
      </c>
      <c r="M495" s="14" t="n"/>
    </row>
    <row r="496">
      <c r="A496" s="13" t="n"/>
      <c r="B496" s="14" t="n"/>
      <c r="C496" s="14" t="n"/>
      <c r="D496" s="14" t="n"/>
      <c r="E496" s="14" t="n"/>
      <c r="F496" s="15" t="n"/>
      <c r="G496" s="14" t="n"/>
      <c r="H496" s="14" t="n"/>
      <c r="I496" s="14" t="n"/>
      <c r="J496" s="15" t="n"/>
      <c r="K496" s="15">
        <f>IF(AND(ISNUMBER(I496),ISNUMBER(J496)),I496*J496,"")</f>
        <v/>
      </c>
      <c r="L496" s="15">
        <f>IF(AND(F496="",K496=""),"",N(F496)+IF(ISNUMBER(K496),K496,0))</f>
        <v/>
      </c>
      <c r="M496" s="14" t="n"/>
    </row>
    <row r="497">
      <c r="A497" s="13" t="n"/>
      <c r="B497" s="14" t="n"/>
      <c r="C497" s="14" t="n"/>
      <c r="D497" s="14" t="n"/>
      <c r="E497" s="14" t="n"/>
      <c r="F497" s="15" t="n"/>
      <c r="G497" s="14" t="n"/>
      <c r="H497" s="14" t="n"/>
      <c r="I497" s="14" t="n"/>
      <c r="J497" s="15" t="n"/>
      <c r="K497" s="15">
        <f>IF(AND(ISNUMBER(I497),ISNUMBER(J497)),I497*J497,"")</f>
        <v/>
      </c>
      <c r="L497" s="15">
        <f>IF(AND(F497="",K497=""),"",N(F497)+IF(ISNUMBER(K497),K497,0))</f>
        <v/>
      </c>
      <c r="M497" s="14" t="n"/>
    </row>
    <row r="498">
      <c r="A498" s="13" t="n"/>
      <c r="B498" s="14" t="n"/>
      <c r="C498" s="14" t="n"/>
      <c r="D498" s="14" t="n"/>
      <c r="E498" s="14" t="n"/>
      <c r="F498" s="15" t="n"/>
      <c r="G498" s="14" t="n"/>
      <c r="H498" s="14" t="n"/>
      <c r="I498" s="14" t="n"/>
      <c r="J498" s="15" t="n"/>
      <c r="K498" s="15">
        <f>IF(AND(ISNUMBER(I498),ISNUMBER(J498)),I498*J498,"")</f>
        <v/>
      </c>
      <c r="L498" s="15">
        <f>IF(AND(F498="",K498=""),"",N(F498)+IF(ISNUMBER(K498),K498,0))</f>
        <v/>
      </c>
      <c r="M498" s="14" t="n"/>
    </row>
    <row r="499">
      <c r="A499" s="13" t="n"/>
      <c r="B499" s="14" t="n"/>
      <c r="C499" s="14" t="n"/>
      <c r="D499" s="14" t="n"/>
      <c r="E499" s="14" t="n"/>
      <c r="F499" s="15" t="n"/>
      <c r="G499" s="14" t="n"/>
      <c r="H499" s="14" t="n"/>
      <c r="I499" s="14" t="n"/>
      <c r="J499" s="15" t="n"/>
      <c r="K499" s="15">
        <f>IF(AND(ISNUMBER(I499),ISNUMBER(J499)),I499*J499,"")</f>
        <v/>
      </c>
      <c r="L499" s="15">
        <f>IF(AND(F499="",K499=""),"",N(F499)+IF(ISNUMBER(K499),K499,0))</f>
        <v/>
      </c>
      <c r="M499" s="14" t="n"/>
    </row>
    <row r="500">
      <c r="A500" s="13" t="n"/>
      <c r="B500" s="14" t="n"/>
      <c r="C500" s="14" t="n"/>
      <c r="D500" s="14" t="n"/>
      <c r="E500" s="14" t="n"/>
      <c r="F500" s="15" t="n"/>
      <c r="G500" s="14" t="n"/>
      <c r="H500" s="14" t="n"/>
      <c r="I500" s="14" t="n"/>
      <c r="J500" s="15" t="n"/>
      <c r="K500" s="15">
        <f>IF(AND(ISNUMBER(I500),ISNUMBER(J500)),I500*J500,"")</f>
        <v/>
      </c>
      <c r="L500" s="15">
        <f>IF(AND(F500="",K500=""),"",N(F500)+IF(ISNUMBER(K500),K500,0))</f>
        <v/>
      </c>
      <c r="M500" s="14" t="n"/>
    </row>
    <row r="501">
      <c r="A501" s="13" t="n"/>
      <c r="B501" s="14" t="n"/>
      <c r="C501" s="14" t="n"/>
      <c r="D501" s="14" t="n"/>
      <c r="E501" s="14" t="n"/>
      <c r="F501" s="15" t="n"/>
      <c r="G501" s="14" t="n"/>
      <c r="H501" s="14" t="n"/>
      <c r="I501" s="14" t="n"/>
      <c r="J501" s="15" t="n"/>
      <c r="K501" s="15">
        <f>IF(AND(ISNUMBER(I501),ISNUMBER(J501)),I501*J501,"")</f>
        <v/>
      </c>
      <c r="L501" s="15">
        <f>IF(AND(F501="",K501=""),"",N(F501)+IF(ISNUMBER(K501),K501,0))</f>
        <v/>
      </c>
      <c r="M501" s="14" t="n"/>
    </row>
  </sheetData>
  <mergeCells count="1">
    <mergeCell ref="A1:M1"/>
  </mergeCells>
  <conditionalFormatting sqref="H2:H501">
    <cfRule type="expression" priority="1" dxfId="0" stopIfTrue="0">
      <formula>AND(OR($A2&lt;&gt;"",$F2&lt;&gt;""),$H2="")</formula>
    </cfRule>
  </conditionalFormatting>
  <dataValidations count="3">
    <dataValidation sqref="B2:B501" showDropDown="0" showInputMessage="0" showErrorMessage="1" allowBlank="1" errorTitle="Invalid property" error="Pick a property from the Properties tab." type="list">
      <formula1>=Properties!$A$3:$A$14</formula1>
    </dataValidation>
    <dataValidation sqref="C2:C501" showDropDown="0" showInputMessage="0" showErrorMessage="1" allowBlank="1" errorTitle="Invalid category" error="Pick a category from the list." type="list">
      <formula1>=Lists!$A$2:$A$14</formula1>
    </dataValidation>
    <dataValidation sqref="G2:G501" showDropDown="0" showInputMessage="0" showErrorMessage="1" allowBlank="1" errorTitle="Invalid method" error="Pick a payment method." type="list">
      <formula1>=Lists!$B$2:$B$6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7A7B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4" customWidth="1" min="4" max="4"/>
  </cols>
  <sheetData>
    <row r="1" ht="26" customHeight="1">
      <c r="A1" s="1" t="inlineStr">
        <is>
          <t>PROPERTIES  —  master list that drives every dropdown &amp; summary</t>
        </is>
      </c>
    </row>
    <row r="2">
      <c r="A2" s="3" t="inlineStr">
        <is>
          <t>Property Name/Address</t>
        </is>
      </c>
      <c r="B2" s="3" t="inlineStr">
        <is>
          <t>Location</t>
        </is>
      </c>
      <c r="C2" s="3" t="inlineStr">
        <is>
          <t>Property Type</t>
        </is>
      </c>
      <c r="D2" s="3" t="inlineStr">
        <is>
          <t>Acquired</t>
        </is>
      </c>
    </row>
    <row r="3">
      <c r="A3" s="14" t="inlineStr">
        <is>
          <t>123 Maple St</t>
        </is>
      </c>
      <c r="B3" s="14" t="inlineStr">
        <is>
          <t>Springfield, IL 62704</t>
        </is>
      </c>
      <c r="C3" s="14" t="inlineStr">
        <is>
          <t>Single-Family</t>
        </is>
      </c>
      <c r="D3" s="14" t="inlineStr">
        <is>
          <t>2019-05-10</t>
        </is>
      </c>
    </row>
    <row r="4">
      <c r="A4" s="16" t="inlineStr">
        <is>
          <t>456 Oak Ave</t>
        </is>
      </c>
      <c r="B4" s="16" t="inlineStr">
        <is>
          <t>Madison, WI 53703</t>
        </is>
      </c>
      <c r="C4" s="16" t="inlineStr">
        <is>
          <t>Duplex</t>
        </is>
      </c>
      <c r="D4" s="16" t="inlineStr">
        <is>
          <t>2021-08-22</t>
        </is>
      </c>
    </row>
    <row r="5">
      <c r="A5" s="14" t="inlineStr">
        <is>
          <t>789 Pine Rd</t>
        </is>
      </c>
      <c r="B5" s="14" t="inlineStr">
        <is>
          <t>Boulder, CO 80302</t>
        </is>
      </c>
      <c r="C5" s="14" t="inlineStr">
        <is>
          <t>Condo</t>
        </is>
      </c>
      <c r="D5" s="14" t="inlineStr">
        <is>
          <t>2020-02-15</t>
        </is>
      </c>
    </row>
    <row r="6">
      <c r="A6" s="14" t="n"/>
      <c r="B6" s="14" t="n"/>
      <c r="C6" s="14" t="n"/>
      <c r="D6" s="14" t="n"/>
    </row>
    <row r="7">
      <c r="A7" s="14" t="n"/>
      <c r="B7" s="14" t="n"/>
      <c r="C7" s="14" t="n"/>
      <c r="D7" s="14" t="n"/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6">
      <c r="A16" s="17" t="inlineStr">
        <is>
          <t>➕  To add a property, type it in the next empty row above. It appears automatically in the Master Log dropdown and all summaries (slots reserved to row 14).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6EA5"/>
    <outlinePr summaryBelow="1" summaryRight="1"/>
    <pageSetUpPr/>
  </sheetPr>
  <dimension ref="A1:N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6" customHeight="1">
      <c r="A1" s="1" t="inlineStr">
        <is>
          <t>PER-PROPERTY SUMMARY  —  total cost by category × property (live from Master Log)</t>
        </is>
      </c>
    </row>
    <row r="2">
      <c r="A2" s="3" t="inlineStr">
        <is>
          <t>Category</t>
        </is>
      </c>
      <c r="B2" s="3">
        <f>Properties!A3</f>
        <v/>
      </c>
      <c r="C2" s="3">
        <f>Properties!A4</f>
        <v/>
      </c>
      <c r="D2" s="3">
        <f>Properties!A5</f>
        <v/>
      </c>
      <c r="E2" s="3">
        <f>Properties!A6</f>
        <v/>
      </c>
      <c r="F2" s="3">
        <f>Properties!A7</f>
        <v/>
      </c>
      <c r="G2" s="3">
        <f>Properties!A8</f>
        <v/>
      </c>
      <c r="H2" s="3">
        <f>Properties!A9</f>
        <v/>
      </c>
      <c r="I2" s="3">
        <f>Properties!A10</f>
        <v/>
      </c>
      <c r="J2" s="3">
        <f>Properties!A11</f>
        <v/>
      </c>
      <c r="K2" s="3">
        <f>Properties!A12</f>
        <v/>
      </c>
      <c r="L2" s="3">
        <f>Properties!A13</f>
        <v/>
      </c>
      <c r="M2" s="3">
        <f>Properties!A14</f>
        <v/>
      </c>
      <c r="N2" s="18" t="inlineStr">
        <is>
          <t>TOTAL</t>
        </is>
      </c>
    </row>
    <row r="3">
      <c r="A3" s="10" t="inlineStr">
        <is>
          <t>Cleaning Expenses</t>
        </is>
      </c>
      <c r="B3" s="11">
        <f>IF(B$2="","",SUMIFS('Master Expense Log'!$L$2:$L$501,'Master Expense Log'!$C$2:$C$501,$A3,'Master Expense Log'!$B$2:$B$501,B$2))</f>
        <v/>
      </c>
      <c r="C3" s="11">
        <f>IF(C$2="","",SUMIFS('Master Expense Log'!$L$2:$L$501,'Master Expense Log'!$C$2:$C$501,$A3,'Master Expense Log'!$B$2:$B$501,C$2))</f>
        <v/>
      </c>
      <c r="D3" s="11">
        <f>IF(D$2="","",SUMIFS('Master Expense Log'!$L$2:$L$501,'Master Expense Log'!$C$2:$C$501,$A3,'Master Expense Log'!$B$2:$B$501,D$2))</f>
        <v/>
      </c>
      <c r="E3" s="11">
        <f>IF(E$2="","",SUMIFS('Master Expense Log'!$L$2:$L$501,'Master Expense Log'!$C$2:$C$501,$A3,'Master Expense Log'!$B$2:$B$501,E$2))</f>
        <v/>
      </c>
      <c r="F3" s="11">
        <f>IF(F$2="","",SUMIFS('Master Expense Log'!$L$2:$L$501,'Master Expense Log'!$C$2:$C$501,$A3,'Master Expense Log'!$B$2:$B$501,F$2))</f>
        <v/>
      </c>
      <c r="G3" s="11">
        <f>IF(G$2="","",SUMIFS('Master Expense Log'!$L$2:$L$501,'Master Expense Log'!$C$2:$C$501,$A3,'Master Expense Log'!$B$2:$B$501,G$2))</f>
        <v/>
      </c>
      <c r="H3" s="11">
        <f>IF(H$2="","",SUMIFS('Master Expense Log'!$L$2:$L$501,'Master Expense Log'!$C$2:$C$501,$A3,'Master Expense Log'!$B$2:$B$501,H$2))</f>
        <v/>
      </c>
      <c r="I3" s="11">
        <f>IF(I$2="","",SUMIFS('Master Expense Log'!$L$2:$L$501,'Master Expense Log'!$C$2:$C$501,$A3,'Master Expense Log'!$B$2:$B$501,I$2))</f>
        <v/>
      </c>
      <c r="J3" s="11">
        <f>IF(J$2="","",SUMIFS('Master Expense Log'!$L$2:$L$501,'Master Expense Log'!$C$2:$C$501,$A3,'Master Expense Log'!$B$2:$B$501,J$2))</f>
        <v/>
      </c>
      <c r="K3" s="11">
        <f>IF(K$2="","",SUMIFS('Master Expense Log'!$L$2:$L$501,'Master Expense Log'!$C$2:$C$501,$A3,'Master Expense Log'!$B$2:$B$501,K$2))</f>
        <v/>
      </c>
      <c r="L3" s="11">
        <f>IF(L$2="","",SUMIFS('Master Expense Log'!$L$2:$L$501,'Master Expense Log'!$C$2:$C$501,$A3,'Master Expense Log'!$B$2:$B$501,L$2))</f>
        <v/>
      </c>
      <c r="M3" s="11">
        <f>IF(M$2="","",SUMIFS('Master Expense Log'!$L$2:$L$501,'Master Expense Log'!$C$2:$C$501,$A3,'Master Expense Log'!$B$2:$B$501,M$2))</f>
        <v/>
      </c>
      <c r="N3" s="19">
        <f>SUM(B3:M3)</f>
        <v/>
      </c>
    </row>
    <row r="4">
      <c r="A4" s="6" t="inlineStr">
        <is>
          <t>Maintenance Expenses</t>
        </is>
      </c>
      <c r="B4" s="7">
        <f>IF(B$2="","",SUMIFS('Master Expense Log'!$L$2:$L$501,'Master Expense Log'!$C$2:$C$501,$A4,'Master Expense Log'!$B$2:$B$501,B$2))</f>
        <v/>
      </c>
      <c r="C4" s="7">
        <f>IF(C$2="","",SUMIFS('Master Expense Log'!$L$2:$L$501,'Master Expense Log'!$C$2:$C$501,$A4,'Master Expense Log'!$B$2:$B$501,C$2))</f>
        <v/>
      </c>
      <c r="D4" s="7">
        <f>IF(D$2="","",SUMIFS('Master Expense Log'!$L$2:$L$501,'Master Expense Log'!$C$2:$C$501,$A4,'Master Expense Log'!$B$2:$B$501,D$2))</f>
        <v/>
      </c>
      <c r="E4" s="7">
        <f>IF(E$2="","",SUMIFS('Master Expense Log'!$L$2:$L$501,'Master Expense Log'!$C$2:$C$501,$A4,'Master Expense Log'!$B$2:$B$501,E$2))</f>
        <v/>
      </c>
      <c r="F4" s="7">
        <f>IF(F$2="","",SUMIFS('Master Expense Log'!$L$2:$L$501,'Master Expense Log'!$C$2:$C$501,$A4,'Master Expense Log'!$B$2:$B$501,F$2))</f>
        <v/>
      </c>
      <c r="G4" s="7">
        <f>IF(G$2="","",SUMIFS('Master Expense Log'!$L$2:$L$501,'Master Expense Log'!$C$2:$C$501,$A4,'Master Expense Log'!$B$2:$B$501,G$2))</f>
        <v/>
      </c>
      <c r="H4" s="7">
        <f>IF(H$2="","",SUMIFS('Master Expense Log'!$L$2:$L$501,'Master Expense Log'!$C$2:$C$501,$A4,'Master Expense Log'!$B$2:$B$501,H$2))</f>
        <v/>
      </c>
      <c r="I4" s="7">
        <f>IF(I$2="","",SUMIFS('Master Expense Log'!$L$2:$L$501,'Master Expense Log'!$C$2:$C$501,$A4,'Master Expense Log'!$B$2:$B$501,I$2))</f>
        <v/>
      </c>
      <c r="J4" s="7">
        <f>IF(J$2="","",SUMIFS('Master Expense Log'!$L$2:$L$501,'Master Expense Log'!$C$2:$C$501,$A4,'Master Expense Log'!$B$2:$B$501,J$2))</f>
        <v/>
      </c>
      <c r="K4" s="7">
        <f>IF(K$2="","",SUMIFS('Master Expense Log'!$L$2:$L$501,'Master Expense Log'!$C$2:$C$501,$A4,'Master Expense Log'!$B$2:$B$501,K$2))</f>
        <v/>
      </c>
      <c r="L4" s="7">
        <f>IF(L$2="","",SUMIFS('Master Expense Log'!$L$2:$L$501,'Master Expense Log'!$C$2:$C$501,$A4,'Master Expense Log'!$B$2:$B$501,L$2))</f>
        <v/>
      </c>
      <c r="M4" s="7">
        <f>IF(M$2="","",SUMIFS('Master Expense Log'!$L$2:$L$501,'Master Expense Log'!$C$2:$C$501,$A4,'Master Expense Log'!$B$2:$B$501,M$2))</f>
        <v/>
      </c>
      <c r="N4" s="20">
        <f>SUM(B4:M4)</f>
        <v/>
      </c>
    </row>
    <row r="5">
      <c r="A5" s="10" t="inlineStr">
        <is>
          <t>Repairs</t>
        </is>
      </c>
      <c r="B5" s="11">
        <f>IF(B$2="","",SUMIFS('Master Expense Log'!$L$2:$L$501,'Master Expense Log'!$C$2:$C$501,$A5,'Master Expense Log'!$B$2:$B$501,B$2))</f>
        <v/>
      </c>
      <c r="C5" s="11">
        <f>IF(C$2="","",SUMIFS('Master Expense Log'!$L$2:$L$501,'Master Expense Log'!$C$2:$C$501,$A5,'Master Expense Log'!$B$2:$B$501,C$2))</f>
        <v/>
      </c>
      <c r="D5" s="11">
        <f>IF(D$2="","",SUMIFS('Master Expense Log'!$L$2:$L$501,'Master Expense Log'!$C$2:$C$501,$A5,'Master Expense Log'!$B$2:$B$501,D$2))</f>
        <v/>
      </c>
      <c r="E5" s="11">
        <f>IF(E$2="","",SUMIFS('Master Expense Log'!$L$2:$L$501,'Master Expense Log'!$C$2:$C$501,$A5,'Master Expense Log'!$B$2:$B$501,E$2))</f>
        <v/>
      </c>
      <c r="F5" s="11">
        <f>IF(F$2="","",SUMIFS('Master Expense Log'!$L$2:$L$501,'Master Expense Log'!$C$2:$C$501,$A5,'Master Expense Log'!$B$2:$B$501,F$2))</f>
        <v/>
      </c>
      <c r="G5" s="11">
        <f>IF(G$2="","",SUMIFS('Master Expense Log'!$L$2:$L$501,'Master Expense Log'!$C$2:$C$501,$A5,'Master Expense Log'!$B$2:$B$501,G$2))</f>
        <v/>
      </c>
      <c r="H5" s="11">
        <f>IF(H$2="","",SUMIFS('Master Expense Log'!$L$2:$L$501,'Master Expense Log'!$C$2:$C$501,$A5,'Master Expense Log'!$B$2:$B$501,H$2))</f>
        <v/>
      </c>
      <c r="I5" s="11">
        <f>IF(I$2="","",SUMIFS('Master Expense Log'!$L$2:$L$501,'Master Expense Log'!$C$2:$C$501,$A5,'Master Expense Log'!$B$2:$B$501,I$2))</f>
        <v/>
      </c>
      <c r="J5" s="11">
        <f>IF(J$2="","",SUMIFS('Master Expense Log'!$L$2:$L$501,'Master Expense Log'!$C$2:$C$501,$A5,'Master Expense Log'!$B$2:$B$501,J$2))</f>
        <v/>
      </c>
      <c r="K5" s="11">
        <f>IF(K$2="","",SUMIFS('Master Expense Log'!$L$2:$L$501,'Master Expense Log'!$C$2:$C$501,$A5,'Master Expense Log'!$B$2:$B$501,K$2))</f>
        <v/>
      </c>
      <c r="L5" s="11">
        <f>IF(L$2="","",SUMIFS('Master Expense Log'!$L$2:$L$501,'Master Expense Log'!$C$2:$C$501,$A5,'Master Expense Log'!$B$2:$B$501,L$2))</f>
        <v/>
      </c>
      <c r="M5" s="11">
        <f>IF(M$2="","",SUMIFS('Master Expense Log'!$L$2:$L$501,'Master Expense Log'!$C$2:$C$501,$A5,'Master Expense Log'!$B$2:$B$501,M$2))</f>
        <v/>
      </c>
      <c r="N5" s="19">
        <f>SUM(B5:M5)</f>
        <v/>
      </c>
    </row>
    <row r="6">
      <c r="A6" s="6" t="inlineStr">
        <is>
          <t>Property Management Fees</t>
        </is>
      </c>
      <c r="B6" s="7">
        <f>IF(B$2="","",SUMIFS('Master Expense Log'!$L$2:$L$501,'Master Expense Log'!$C$2:$C$501,$A6,'Master Expense Log'!$B$2:$B$501,B$2))</f>
        <v/>
      </c>
      <c r="C6" s="7">
        <f>IF(C$2="","",SUMIFS('Master Expense Log'!$L$2:$L$501,'Master Expense Log'!$C$2:$C$501,$A6,'Master Expense Log'!$B$2:$B$501,C$2))</f>
        <v/>
      </c>
      <c r="D6" s="7">
        <f>IF(D$2="","",SUMIFS('Master Expense Log'!$L$2:$L$501,'Master Expense Log'!$C$2:$C$501,$A6,'Master Expense Log'!$B$2:$B$501,D$2))</f>
        <v/>
      </c>
      <c r="E6" s="7">
        <f>IF(E$2="","",SUMIFS('Master Expense Log'!$L$2:$L$501,'Master Expense Log'!$C$2:$C$501,$A6,'Master Expense Log'!$B$2:$B$501,E$2))</f>
        <v/>
      </c>
      <c r="F6" s="7">
        <f>IF(F$2="","",SUMIFS('Master Expense Log'!$L$2:$L$501,'Master Expense Log'!$C$2:$C$501,$A6,'Master Expense Log'!$B$2:$B$501,F$2))</f>
        <v/>
      </c>
      <c r="G6" s="7">
        <f>IF(G$2="","",SUMIFS('Master Expense Log'!$L$2:$L$501,'Master Expense Log'!$C$2:$C$501,$A6,'Master Expense Log'!$B$2:$B$501,G$2))</f>
        <v/>
      </c>
      <c r="H6" s="7">
        <f>IF(H$2="","",SUMIFS('Master Expense Log'!$L$2:$L$501,'Master Expense Log'!$C$2:$C$501,$A6,'Master Expense Log'!$B$2:$B$501,H$2))</f>
        <v/>
      </c>
      <c r="I6" s="7">
        <f>IF(I$2="","",SUMIFS('Master Expense Log'!$L$2:$L$501,'Master Expense Log'!$C$2:$C$501,$A6,'Master Expense Log'!$B$2:$B$501,I$2))</f>
        <v/>
      </c>
      <c r="J6" s="7">
        <f>IF(J$2="","",SUMIFS('Master Expense Log'!$L$2:$L$501,'Master Expense Log'!$C$2:$C$501,$A6,'Master Expense Log'!$B$2:$B$501,J$2))</f>
        <v/>
      </c>
      <c r="K6" s="7">
        <f>IF(K$2="","",SUMIFS('Master Expense Log'!$L$2:$L$501,'Master Expense Log'!$C$2:$C$501,$A6,'Master Expense Log'!$B$2:$B$501,K$2))</f>
        <v/>
      </c>
      <c r="L6" s="7">
        <f>IF(L$2="","",SUMIFS('Master Expense Log'!$L$2:$L$501,'Master Expense Log'!$C$2:$C$501,$A6,'Master Expense Log'!$B$2:$B$501,L$2))</f>
        <v/>
      </c>
      <c r="M6" s="7">
        <f>IF(M$2="","",SUMIFS('Master Expense Log'!$L$2:$L$501,'Master Expense Log'!$C$2:$C$501,$A6,'Master Expense Log'!$B$2:$B$501,M$2))</f>
        <v/>
      </c>
      <c r="N6" s="20">
        <f>SUM(B6:M6)</f>
        <v/>
      </c>
    </row>
    <row r="7">
      <c r="A7" s="10" t="inlineStr">
        <is>
          <t>Advertising Costs</t>
        </is>
      </c>
      <c r="B7" s="11">
        <f>IF(B$2="","",SUMIFS('Master Expense Log'!$L$2:$L$501,'Master Expense Log'!$C$2:$C$501,$A7,'Master Expense Log'!$B$2:$B$501,B$2))</f>
        <v/>
      </c>
      <c r="C7" s="11">
        <f>IF(C$2="","",SUMIFS('Master Expense Log'!$L$2:$L$501,'Master Expense Log'!$C$2:$C$501,$A7,'Master Expense Log'!$B$2:$B$501,C$2))</f>
        <v/>
      </c>
      <c r="D7" s="11">
        <f>IF(D$2="","",SUMIFS('Master Expense Log'!$L$2:$L$501,'Master Expense Log'!$C$2:$C$501,$A7,'Master Expense Log'!$B$2:$B$501,D$2))</f>
        <v/>
      </c>
      <c r="E7" s="11">
        <f>IF(E$2="","",SUMIFS('Master Expense Log'!$L$2:$L$501,'Master Expense Log'!$C$2:$C$501,$A7,'Master Expense Log'!$B$2:$B$501,E$2))</f>
        <v/>
      </c>
      <c r="F7" s="11">
        <f>IF(F$2="","",SUMIFS('Master Expense Log'!$L$2:$L$501,'Master Expense Log'!$C$2:$C$501,$A7,'Master Expense Log'!$B$2:$B$501,F$2))</f>
        <v/>
      </c>
      <c r="G7" s="11">
        <f>IF(G$2="","",SUMIFS('Master Expense Log'!$L$2:$L$501,'Master Expense Log'!$C$2:$C$501,$A7,'Master Expense Log'!$B$2:$B$501,G$2))</f>
        <v/>
      </c>
      <c r="H7" s="11">
        <f>IF(H$2="","",SUMIFS('Master Expense Log'!$L$2:$L$501,'Master Expense Log'!$C$2:$C$501,$A7,'Master Expense Log'!$B$2:$B$501,H$2))</f>
        <v/>
      </c>
      <c r="I7" s="11">
        <f>IF(I$2="","",SUMIFS('Master Expense Log'!$L$2:$L$501,'Master Expense Log'!$C$2:$C$501,$A7,'Master Expense Log'!$B$2:$B$501,I$2))</f>
        <v/>
      </c>
      <c r="J7" s="11">
        <f>IF(J$2="","",SUMIFS('Master Expense Log'!$L$2:$L$501,'Master Expense Log'!$C$2:$C$501,$A7,'Master Expense Log'!$B$2:$B$501,J$2))</f>
        <v/>
      </c>
      <c r="K7" s="11">
        <f>IF(K$2="","",SUMIFS('Master Expense Log'!$L$2:$L$501,'Master Expense Log'!$C$2:$C$501,$A7,'Master Expense Log'!$B$2:$B$501,K$2))</f>
        <v/>
      </c>
      <c r="L7" s="11">
        <f>IF(L$2="","",SUMIFS('Master Expense Log'!$L$2:$L$501,'Master Expense Log'!$C$2:$C$501,$A7,'Master Expense Log'!$B$2:$B$501,L$2))</f>
        <v/>
      </c>
      <c r="M7" s="11">
        <f>IF(M$2="","",SUMIFS('Master Expense Log'!$L$2:$L$501,'Master Expense Log'!$C$2:$C$501,$A7,'Master Expense Log'!$B$2:$B$501,M$2))</f>
        <v/>
      </c>
      <c r="N7" s="19">
        <f>SUM(B7:M7)</f>
        <v/>
      </c>
    </row>
    <row r="8">
      <c r="A8" s="6" t="inlineStr">
        <is>
          <t>Utilities</t>
        </is>
      </c>
      <c r="B8" s="7">
        <f>IF(B$2="","",SUMIFS('Master Expense Log'!$L$2:$L$501,'Master Expense Log'!$C$2:$C$501,$A8,'Master Expense Log'!$B$2:$B$501,B$2))</f>
        <v/>
      </c>
      <c r="C8" s="7">
        <f>IF(C$2="","",SUMIFS('Master Expense Log'!$L$2:$L$501,'Master Expense Log'!$C$2:$C$501,$A8,'Master Expense Log'!$B$2:$B$501,C$2))</f>
        <v/>
      </c>
      <c r="D8" s="7">
        <f>IF(D$2="","",SUMIFS('Master Expense Log'!$L$2:$L$501,'Master Expense Log'!$C$2:$C$501,$A8,'Master Expense Log'!$B$2:$B$501,D$2))</f>
        <v/>
      </c>
      <c r="E8" s="7">
        <f>IF(E$2="","",SUMIFS('Master Expense Log'!$L$2:$L$501,'Master Expense Log'!$C$2:$C$501,$A8,'Master Expense Log'!$B$2:$B$501,E$2))</f>
        <v/>
      </c>
      <c r="F8" s="7">
        <f>IF(F$2="","",SUMIFS('Master Expense Log'!$L$2:$L$501,'Master Expense Log'!$C$2:$C$501,$A8,'Master Expense Log'!$B$2:$B$501,F$2))</f>
        <v/>
      </c>
      <c r="G8" s="7">
        <f>IF(G$2="","",SUMIFS('Master Expense Log'!$L$2:$L$501,'Master Expense Log'!$C$2:$C$501,$A8,'Master Expense Log'!$B$2:$B$501,G$2))</f>
        <v/>
      </c>
      <c r="H8" s="7">
        <f>IF(H$2="","",SUMIFS('Master Expense Log'!$L$2:$L$501,'Master Expense Log'!$C$2:$C$501,$A8,'Master Expense Log'!$B$2:$B$501,H$2))</f>
        <v/>
      </c>
      <c r="I8" s="7">
        <f>IF(I$2="","",SUMIFS('Master Expense Log'!$L$2:$L$501,'Master Expense Log'!$C$2:$C$501,$A8,'Master Expense Log'!$B$2:$B$501,I$2))</f>
        <v/>
      </c>
      <c r="J8" s="7">
        <f>IF(J$2="","",SUMIFS('Master Expense Log'!$L$2:$L$501,'Master Expense Log'!$C$2:$C$501,$A8,'Master Expense Log'!$B$2:$B$501,J$2))</f>
        <v/>
      </c>
      <c r="K8" s="7">
        <f>IF(K$2="","",SUMIFS('Master Expense Log'!$L$2:$L$501,'Master Expense Log'!$C$2:$C$501,$A8,'Master Expense Log'!$B$2:$B$501,K$2))</f>
        <v/>
      </c>
      <c r="L8" s="7">
        <f>IF(L$2="","",SUMIFS('Master Expense Log'!$L$2:$L$501,'Master Expense Log'!$C$2:$C$501,$A8,'Master Expense Log'!$B$2:$B$501,L$2))</f>
        <v/>
      </c>
      <c r="M8" s="7">
        <f>IF(M$2="","",SUMIFS('Master Expense Log'!$L$2:$L$501,'Master Expense Log'!$C$2:$C$501,$A8,'Master Expense Log'!$B$2:$B$501,M$2))</f>
        <v/>
      </c>
      <c r="N8" s="20">
        <f>SUM(B8:M8)</f>
        <v/>
      </c>
    </row>
    <row r="9">
      <c r="A9" s="10" t="inlineStr">
        <is>
          <t>Insurance</t>
        </is>
      </c>
      <c r="B9" s="11">
        <f>IF(B$2="","",SUMIFS('Master Expense Log'!$L$2:$L$501,'Master Expense Log'!$C$2:$C$501,$A9,'Master Expense Log'!$B$2:$B$501,B$2))</f>
        <v/>
      </c>
      <c r="C9" s="11">
        <f>IF(C$2="","",SUMIFS('Master Expense Log'!$L$2:$L$501,'Master Expense Log'!$C$2:$C$501,$A9,'Master Expense Log'!$B$2:$B$501,C$2))</f>
        <v/>
      </c>
      <c r="D9" s="11">
        <f>IF(D$2="","",SUMIFS('Master Expense Log'!$L$2:$L$501,'Master Expense Log'!$C$2:$C$501,$A9,'Master Expense Log'!$B$2:$B$501,D$2))</f>
        <v/>
      </c>
      <c r="E9" s="11">
        <f>IF(E$2="","",SUMIFS('Master Expense Log'!$L$2:$L$501,'Master Expense Log'!$C$2:$C$501,$A9,'Master Expense Log'!$B$2:$B$501,E$2))</f>
        <v/>
      </c>
      <c r="F9" s="11">
        <f>IF(F$2="","",SUMIFS('Master Expense Log'!$L$2:$L$501,'Master Expense Log'!$C$2:$C$501,$A9,'Master Expense Log'!$B$2:$B$501,F$2))</f>
        <v/>
      </c>
      <c r="G9" s="11">
        <f>IF(G$2="","",SUMIFS('Master Expense Log'!$L$2:$L$501,'Master Expense Log'!$C$2:$C$501,$A9,'Master Expense Log'!$B$2:$B$501,G$2))</f>
        <v/>
      </c>
      <c r="H9" s="11">
        <f>IF(H$2="","",SUMIFS('Master Expense Log'!$L$2:$L$501,'Master Expense Log'!$C$2:$C$501,$A9,'Master Expense Log'!$B$2:$B$501,H$2))</f>
        <v/>
      </c>
      <c r="I9" s="11">
        <f>IF(I$2="","",SUMIFS('Master Expense Log'!$L$2:$L$501,'Master Expense Log'!$C$2:$C$501,$A9,'Master Expense Log'!$B$2:$B$501,I$2))</f>
        <v/>
      </c>
      <c r="J9" s="11">
        <f>IF(J$2="","",SUMIFS('Master Expense Log'!$L$2:$L$501,'Master Expense Log'!$C$2:$C$501,$A9,'Master Expense Log'!$B$2:$B$501,J$2))</f>
        <v/>
      </c>
      <c r="K9" s="11">
        <f>IF(K$2="","",SUMIFS('Master Expense Log'!$L$2:$L$501,'Master Expense Log'!$C$2:$C$501,$A9,'Master Expense Log'!$B$2:$B$501,K$2))</f>
        <v/>
      </c>
      <c r="L9" s="11">
        <f>IF(L$2="","",SUMIFS('Master Expense Log'!$L$2:$L$501,'Master Expense Log'!$C$2:$C$501,$A9,'Master Expense Log'!$B$2:$B$501,L$2))</f>
        <v/>
      </c>
      <c r="M9" s="11">
        <f>IF(M$2="","",SUMIFS('Master Expense Log'!$L$2:$L$501,'Master Expense Log'!$C$2:$C$501,$A9,'Master Expense Log'!$B$2:$B$501,M$2))</f>
        <v/>
      </c>
      <c r="N9" s="19">
        <f>SUM(B9:M9)</f>
        <v/>
      </c>
    </row>
    <row r="10">
      <c r="A10" s="6" t="inlineStr">
        <is>
          <t>Property Taxes</t>
        </is>
      </c>
      <c r="B10" s="7">
        <f>IF(B$2="","",SUMIFS('Master Expense Log'!$L$2:$L$501,'Master Expense Log'!$C$2:$C$501,$A10,'Master Expense Log'!$B$2:$B$501,B$2))</f>
        <v/>
      </c>
      <c r="C10" s="7">
        <f>IF(C$2="","",SUMIFS('Master Expense Log'!$L$2:$L$501,'Master Expense Log'!$C$2:$C$501,$A10,'Master Expense Log'!$B$2:$B$501,C$2))</f>
        <v/>
      </c>
      <c r="D10" s="7">
        <f>IF(D$2="","",SUMIFS('Master Expense Log'!$L$2:$L$501,'Master Expense Log'!$C$2:$C$501,$A10,'Master Expense Log'!$B$2:$B$501,D$2))</f>
        <v/>
      </c>
      <c r="E10" s="7">
        <f>IF(E$2="","",SUMIFS('Master Expense Log'!$L$2:$L$501,'Master Expense Log'!$C$2:$C$501,$A10,'Master Expense Log'!$B$2:$B$501,E$2))</f>
        <v/>
      </c>
      <c r="F10" s="7">
        <f>IF(F$2="","",SUMIFS('Master Expense Log'!$L$2:$L$501,'Master Expense Log'!$C$2:$C$501,$A10,'Master Expense Log'!$B$2:$B$501,F$2))</f>
        <v/>
      </c>
      <c r="G10" s="7">
        <f>IF(G$2="","",SUMIFS('Master Expense Log'!$L$2:$L$501,'Master Expense Log'!$C$2:$C$501,$A10,'Master Expense Log'!$B$2:$B$501,G$2))</f>
        <v/>
      </c>
      <c r="H10" s="7">
        <f>IF(H$2="","",SUMIFS('Master Expense Log'!$L$2:$L$501,'Master Expense Log'!$C$2:$C$501,$A10,'Master Expense Log'!$B$2:$B$501,H$2))</f>
        <v/>
      </c>
      <c r="I10" s="7">
        <f>IF(I$2="","",SUMIFS('Master Expense Log'!$L$2:$L$501,'Master Expense Log'!$C$2:$C$501,$A10,'Master Expense Log'!$B$2:$B$501,I$2))</f>
        <v/>
      </c>
      <c r="J10" s="7">
        <f>IF(J$2="","",SUMIFS('Master Expense Log'!$L$2:$L$501,'Master Expense Log'!$C$2:$C$501,$A10,'Master Expense Log'!$B$2:$B$501,J$2))</f>
        <v/>
      </c>
      <c r="K10" s="7">
        <f>IF(K$2="","",SUMIFS('Master Expense Log'!$L$2:$L$501,'Master Expense Log'!$C$2:$C$501,$A10,'Master Expense Log'!$B$2:$B$501,K$2))</f>
        <v/>
      </c>
      <c r="L10" s="7">
        <f>IF(L$2="","",SUMIFS('Master Expense Log'!$L$2:$L$501,'Master Expense Log'!$C$2:$C$501,$A10,'Master Expense Log'!$B$2:$B$501,L$2))</f>
        <v/>
      </c>
      <c r="M10" s="7">
        <f>IF(M$2="","",SUMIFS('Master Expense Log'!$L$2:$L$501,'Master Expense Log'!$C$2:$C$501,$A10,'Master Expense Log'!$B$2:$B$501,M$2))</f>
        <v/>
      </c>
      <c r="N10" s="20">
        <f>SUM(B10:M10)</f>
        <v/>
      </c>
    </row>
    <row r="11">
      <c r="A11" s="10" t="inlineStr">
        <is>
          <t>Mortgage Interest</t>
        </is>
      </c>
      <c r="B11" s="11">
        <f>IF(B$2="","",SUMIFS('Master Expense Log'!$L$2:$L$501,'Master Expense Log'!$C$2:$C$501,$A11,'Master Expense Log'!$B$2:$B$501,B$2))</f>
        <v/>
      </c>
      <c r="C11" s="11">
        <f>IF(C$2="","",SUMIFS('Master Expense Log'!$L$2:$L$501,'Master Expense Log'!$C$2:$C$501,$A11,'Master Expense Log'!$B$2:$B$501,C$2))</f>
        <v/>
      </c>
      <c r="D11" s="11">
        <f>IF(D$2="","",SUMIFS('Master Expense Log'!$L$2:$L$501,'Master Expense Log'!$C$2:$C$501,$A11,'Master Expense Log'!$B$2:$B$501,D$2))</f>
        <v/>
      </c>
      <c r="E11" s="11">
        <f>IF(E$2="","",SUMIFS('Master Expense Log'!$L$2:$L$501,'Master Expense Log'!$C$2:$C$501,$A11,'Master Expense Log'!$B$2:$B$501,E$2))</f>
        <v/>
      </c>
      <c r="F11" s="11">
        <f>IF(F$2="","",SUMIFS('Master Expense Log'!$L$2:$L$501,'Master Expense Log'!$C$2:$C$501,$A11,'Master Expense Log'!$B$2:$B$501,F$2))</f>
        <v/>
      </c>
      <c r="G11" s="11">
        <f>IF(G$2="","",SUMIFS('Master Expense Log'!$L$2:$L$501,'Master Expense Log'!$C$2:$C$501,$A11,'Master Expense Log'!$B$2:$B$501,G$2))</f>
        <v/>
      </c>
      <c r="H11" s="11">
        <f>IF(H$2="","",SUMIFS('Master Expense Log'!$L$2:$L$501,'Master Expense Log'!$C$2:$C$501,$A11,'Master Expense Log'!$B$2:$B$501,H$2))</f>
        <v/>
      </c>
      <c r="I11" s="11">
        <f>IF(I$2="","",SUMIFS('Master Expense Log'!$L$2:$L$501,'Master Expense Log'!$C$2:$C$501,$A11,'Master Expense Log'!$B$2:$B$501,I$2))</f>
        <v/>
      </c>
      <c r="J11" s="11">
        <f>IF(J$2="","",SUMIFS('Master Expense Log'!$L$2:$L$501,'Master Expense Log'!$C$2:$C$501,$A11,'Master Expense Log'!$B$2:$B$501,J$2))</f>
        <v/>
      </c>
      <c r="K11" s="11">
        <f>IF(K$2="","",SUMIFS('Master Expense Log'!$L$2:$L$501,'Master Expense Log'!$C$2:$C$501,$A11,'Master Expense Log'!$B$2:$B$501,K$2))</f>
        <v/>
      </c>
      <c r="L11" s="11">
        <f>IF(L$2="","",SUMIFS('Master Expense Log'!$L$2:$L$501,'Master Expense Log'!$C$2:$C$501,$A11,'Master Expense Log'!$B$2:$B$501,L$2))</f>
        <v/>
      </c>
      <c r="M11" s="11">
        <f>IF(M$2="","",SUMIFS('Master Expense Log'!$L$2:$L$501,'Master Expense Log'!$C$2:$C$501,$A11,'Master Expense Log'!$B$2:$B$501,M$2))</f>
        <v/>
      </c>
      <c r="N11" s="19">
        <f>SUM(B11:M11)</f>
        <v/>
      </c>
    </row>
    <row r="12">
      <c r="A12" s="6" t="inlineStr">
        <is>
          <t>Legal and Professional Fees</t>
        </is>
      </c>
      <c r="B12" s="7">
        <f>IF(B$2="","",SUMIFS('Master Expense Log'!$L$2:$L$501,'Master Expense Log'!$C$2:$C$501,$A12,'Master Expense Log'!$B$2:$B$501,B$2))</f>
        <v/>
      </c>
      <c r="C12" s="7">
        <f>IF(C$2="","",SUMIFS('Master Expense Log'!$L$2:$L$501,'Master Expense Log'!$C$2:$C$501,$A12,'Master Expense Log'!$B$2:$B$501,C$2))</f>
        <v/>
      </c>
      <c r="D12" s="7">
        <f>IF(D$2="","",SUMIFS('Master Expense Log'!$L$2:$L$501,'Master Expense Log'!$C$2:$C$501,$A12,'Master Expense Log'!$B$2:$B$501,D$2))</f>
        <v/>
      </c>
      <c r="E12" s="7">
        <f>IF(E$2="","",SUMIFS('Master Expense Log'!$L$2:$L$501,'Master Expense Log'!$C$2:$C$501,$A12,'Master Expense Log'!$B$2:$B$501,E$2))</f>
        <v/>
      </c>
      <c r="F12" s="7">
        <f>IF(F$2="","",SUMIFS('Master Expense Log'!$L$2:$L$501,'Master Expense Log'!$C$2:$C$501,$A12,'Master Expense Log'!$B$2:$B$501,F$2))</f>
        <v/>
      </c>
      <c r="G12" s="7">
        <f>IF(G$2="","",SUMIFS('Master Expense Log'!$L$2:$L$501,'Master Expense Log'!$C$2:$C$501,$A12,'Master Expense Log'!$B$2:$B$501,G$2))</f>
        <v/>
      </c>
      <c r="H12" s="7">
        <f>IF(H$2="","",SUMIFS('Master Expense Log'!$L$2:$L$501,'Master Expense Log'!$C$2:$C$501,$A12,'Master Expense Log'!$B$2:$B$501,H$2))</f>
        <v/>
      </c>
      <c r="I12" s="7">
        <f>IF(I$2="","",SUMIFS('Master Expense Log'!$L$2:$L$501,'Master Expense Log'!$C$2:$C$501,$A12,'Master Expense Log'!$B$2:$B$501,I$2))</f>
        <v/>
      </c>
      <c r="J12" s="7">
        <f>IF(J$2="","",SUMIFS('Master Expense Log'!$L$2:$L$501,'Master Expense Log'!$C$2:$C$501,$A12,'Master Expense Log'!$B$2:$B$501,J$2))</f>
        <v/>
      </c>
      <c r="K12" s="7">
        <f>IF(K$2="","",SUMIFS('Master Expense Log'!$L$2:$L$501,'Master Expense Log'!$C$2:$C$501,$A12,'Master Expense Log'!$B$2:$B$501,K$2))</f>
        <v/>
      </c>
      <c r="L12" s="7">
        <f>IF(L$2="","",SUMIFS('Master Expense Log'!$L$2:$L$501,'Master Expense Log'!$C$2:$C$501,$A12,'Master Expense Log'!$B$2:$B$501,L$2))</f>
        <v/>
      </c>
      <c r="M12" s="7">
        <f>IF(M$2="","",SUMIFS('Master Expense Log'!$L$2:$L$501,'Master Expense Log'!$C$2:$C$501,$A12,'Master Expense Log'!$B$2:$B$501,M$2))</f>
        <v/>
      </c>
      <c r="N12" s="20">
        <f>SUM(B12:M12)</f>
        <v/>
      </c>
    </row>
    <row r="13">
      <c r="A13" s="10" t="inlineStr">
        <is>
          <t>Supplies</t>
        </is>
      </c>
      <c r="B13" s="11">
        <f>IF(B$2="","",SUMIFS('Master Expense Log'!$L$2:$L$501,'Master Expense Log'!$C$2:$C$501,$A13,'Master Expense Log'!$B$2:$B$501,B$2))</f>
        <v/>
      </c>
      <c r="C13" s="11">
        <f>IF(C$2="","",SUMIFS('Master Expense Log'!$L$2:$L$501,'Master Expense Log'!$C$2:$C$501,$A13,'Master Expense Log'!$B$2:$B$501,C$2))</f>
        <v/>
      </c>
      <c r="D13" s="11">
        <f>IF(D$2="","",SUMIFS('Master Expense Log'!$L$2:$L$501,'Master Expense Log'!$C$2:$C$501,$A13,'Master Expense Log'!$B$2:$B$501,D$2))</f>
        <v/>
      </c>
      <c r="E13" s="11">
        <f>IF(E$2="","",SUMIFS('Master Expense Log'!$L$2:$L$501,'Master Expense Log'!$C$2:$C$501,$A13,'Master Expense Log'!$B$2:$B$501,E$2))</f>
        <v/>
      </c>
      <c r="F13" s="11">
        <f>IF(F$2="","",SUMIFS('Master Expense Log'!$L$2:$L$501,'Master Expense Log'!$C$2:$C$501,$A13,'Master Expense Log'!$B$2:$B$501,F$2))</f>
        <v/>
      </c>
      <c r="G13" s="11">
        <f>IF(G$2="","",SUMIFS('Master Expense Log'!$L$2:$L$501,'Master Expense Log'!$C$2:$C$501,$A13,'Master Expense Log'!$B$2:$B$501,G$2))</f>
        <v/>
      </c>
      <c r="H13" s="11">
        <f>IF(H$2="","",SUMIFS('Master Expense Log'!$L$2:$L$501,'Master Expense Log'!$C$2:$C$501,$A13,'Master Expense Log'!$B$2:$B$501,H$2))</f>
        <v/>
      </c>
      <c r="I13" s="11">
        <f>IF(I$2="","",SUMIFS('Master Expense Log'!$L$2:$L$501,'Master Expense Log'!$C$2:$C$501,$A13,'Master Expense Log'!$B$2:$B$501,I$2))</f>
        <v/>
      </c>
      <c r="J13" s="11">
        <f>IF(J$2="","",SUMIFS('Master Expense Log'!$L$2:$L$501,'Master Expense Log'!$C$2:$C$501,$A13,'Master Expense Log'!$B$2:$B$501,J$2))</f>
        <v/>
      </c>
      <c r="K13" s="11">
        <f>IF(K$2="","",SUMIFS('Master Expense Log'!$L$2:$L$501,'Master Expense Log'!$C$2:$C$501,$A13,'Master Expense Log'!$B$2:$B$501,K$2))</f>
        <v/>
      </c>
      <c r="L13" s="11">
        <f>IF(L$2="","",SUMIFS('Master Expense Log'!$L$2:$L$501,'Master Expense Log'!$C$2:$C$501,$A13,'Master Expense Log'!$B$2:$B$501,L$2))</f>
        <v/>
      </c>
      <c r="M13" s="11">
        <f>IF(M$2="","",SUMIFS('Master Expense Log'!$L$2:$L$501,'Master Expense Log'!$C$2:$C$501,$A13,'Master Expense Log'!$B$2:$B$501,M$2))</f>
        <v/>
      </c>
      <c r="N13" s="19">
        <f>SUM(B13:M13)</f>
        <v/>
      </c>
    </row>
    <row r="14">
      <c r="A14" s="6" t="inlineStr">
        <is>
          <t>Travel Expenses</t>
        </is>
      </c>
      <c r="B14" s="7">
        <f>IF(B$2="","",SUMIFS('Master Expense Log'!$L$2:$L$501,'Master Expense Log'!$C$2:$C$501,$A14,'Master Expense Log'!$B$2:$B$501,B$2))</f>
        <v/>
      </c>
      <c r="C14" s="7">
        <f>IF(C$2="","",SUMIFS('Master Expense Log'!$L$2:$L$501,'Master Expense Log'!$C$2:$C$501,$A14,'Master Expense Log'!$B$2:$B$501,C$2))</f>
        <v/>
      </c>
      <c r="D14" s="7">
        <f>IF(D$2="","",SUMIFS('Master Expense Log'!$L$2:$L$501,'Master Expense Log'!$C$2:$C$501,$A14,'Master Expense Log'!$B$2:$B$501,D$2))</f>
        <v/>
      </c>
      <c r="E14" s="7">
        <f>IF(E$2="","",SUMIFS('Master Expense Log'!$L$2:$L$501,'Master Expense Log'!$C$2:$C$501,$A14,'Master Expense Log'!$B$2:$B$501,E$2))</f>
        <v/>
      </c>
      <c r="F14" s="7">
        <f>IF(F$2="","",SUMIFS('Master Expense Log'!$L$2:$L$501,'Master Expense Log'!$C$2:$C$501,$A14,'Master Expense Log'!$B$2:$B$501,F$2))</f>
        <v/>
      </c>
      <c r="G14" s="7">
        <f>IF(G$2="","",SUMIFS('Master Expense Log'!$L$2:$L$501,'Master Expense Log'!$C$2:$C$501,$A14,'Master Expense Log'!$B$2:$B$501,G$2))</f>
        <v/>
      </c>
      <c r="H14" s="7">
        <f>IF(H$2="","",SUMIFS('Master Expense Log'!$L$2:$L$501,'Master Expense Log'!$C$2:$C$501,$A14,'Master Expense Log'!$B$2:$B$501,H$2))</f>
        <v/>
      </c>
      <c r="I14" s="7">
        <f>IF(I$2="","",SUMIFS('Master Expense Log'!$L$2:$L$501,'Master Expense Log'!$C$2:$C$501,$A14,'Master Expense Log'!$B$2:$B$501,I$2))</f>
        <v/>
      </c>
      <c r="J14" s="7">
        <f>IF(J$2="","",SUMIFS('Master Expense Log'!$L$2:$L$501,'Master Expense Log'!$C$2:$C$501,$A14,'Master Expense Log'!$B$2:$B$501,J$2))</f>
        <v/>
      </c>
      <c r="K14" s="7">
        <f>IF(K$2="","",SUMIFS('Master Expense Log'!$L$2:$L$501,'Master Expense Log'!$C$2:$C$501,$A14,'Master Expense Log'!$B$2:$B$501,K$2))</f>
        <v/>
      </c>
      <c r="L14" s="7">
        <f>IF(L$2="","",SUMIFS('Master Expense Log'!$L$2:$L$501,'Master Expense Log'!$C$2:$C$501,$A14,'Master Expense Log'!$B$2:$B$501,L$2))</f>
        <v/>
      </c>
      <c r="M14" s="7">
        <f>IF(M$2="","",SUMIFS('Master Expense Log'!$L$2:$L$501,'Master Expense Log'!$C$2:$C$501,$A14,'Master Expense Log'!$B$2:$B$501,M$2))</f>
        <v/>
      </c>
      <c r="N14" s="20">
        <f>SUM(B14:M14)</f>
        <v/>
      </c>
    </row>
    <row r="15">
      <c r="A15" s="10" t="inlineStr">
        <is>
          <t>Other Miscellaneous Expenses</t>
        </is>
      </c>
      <c r="B15" s="11">
        <f>IF(B$2="","",SUMIFS('Master Expense Log'!$L$2:$L$501,'Master Expense Log'!$C$2:$C$501,$A15,'Master Expense Log'!$B$2:$B$501,B$2))</f>
        <v/>
      </c>
      <c r="C15" s="11">
        <f>IF(C$2="","",SUMIFS('Master Expense Log'!$L$2:$L$501,'Master Expense Log'!$C$2:$C$501,$A15,'Master Expense Log'!$B$2:$B$501,C$2))</f>
        <v/>
      </c>
      <c r="D15" s="11">
        <f>IF(D$2="","",SUMIFS('Master Expense Log'!$L$2:$L$501,'Master Expense Log'!$C$2:$C$501,$A15,'Master Expense Log'!$B$2:$B$501,D$2))</f>
        <v/>
      </c>
      <c r="E15" s="11">
        <f>IF(E$2="","",SUMIFS('Master Expense Log'!$L$2:$L$501,'Master Expense Log'!$C$2:$C$501,$A15,'Master Expense Log'!$B$2:$B$501,E$2))</f>
        <v/>
      </c>
      <c r="F15" s="11">
        <f>IF(F$2="","",SUMIFS('Master Expense Log'!$L$2:$L$501,'Master Expense Log'!$C$2:$C$501,$A15,'Master Expense Log'!$B$2:$B$501,F$2))</f>
        <v/>
      </c>
      <c r="G15" s="11">
        <f>IF(G$2="","",SUMIFS('Master Expense Log'!$L$2:$L$501,'Master Expense Log'!$C$2:$C$501,$A15,'Master Expense Log'!$B$2:$B$501,G$2))</f>
        <v/>
      </c>
      <c r="H15" s="11">
        <f>IF(H$2="","",SUMIFS('Master Expense Log'!$L$2:$L$501,'Master Expense Log'!$C$2:$C$501,$A15,'Master Expense Log'!$B$2:$B$501,H$2))</f>
        <v/>
      </c>
      <c r="I15" s="11">
        <f>IF(I$2="","",SUMIFS('Master Expense Log'!$L$2:$L$501,'Master Expense Log'!$C$2:$C$501,$A15,'Master Expense Log'!$B$2:$B$501,I$2))</f>
        <v/>
      </c>
      <c r="J15" s="11">
        <f>IF(J$2="","",SUMIFS('Master Expense Log'!$L$2:$L$501,'Master Expense Log'!$C$2:$C$501,$A15,'Master Expense Log'!$B$2:$B$501,J$2))</f>
        <v/>
      </c>
      <c r="K15" s="11">
        <f>IF(K$2="","",SUMIFS('Master Expense Log'!$L$2:$L$501,'Master Expense Log'!$C$2:$C$501,$A15,'Master Expense Log'!$B$2:$B$501,K$2))</f>
        <v/>
      </c>
      <c r="L15" s="11">
        <f>IF(L$2="","",SUMIFS('Master Expense Log'!$L$2:$L$501,'Master Expense Log'!$C$2:$C$501,$A15,'Master Expense Log'!$B$2:$B$501,L$2))</f>
        <v/>
      </c>
      <c r="M15" s="11">
        <f>IF(M$2="","",SUMIFS('Master Expense Log'!$L$2:$L$501,'Master Expense Log'!$C$2:$C$501,$A15,'Master Expense Log'!$B$2:$B$501,M$2))</f>
        <v/>
      </c>
      <c r="N15" s="19">
        <f>SUM(B15:M15)</f>
        <v/>
      </c>
    </row>
    <row r="16">
      <c r="A16" s="21" t="inlineStr">
        <is>
          <t>GRAND TOTAL</t>
        </is>
      </c>
      <c r="B16" s="22">
        <f>SUM(B3:B15)</f>
        <v/>
      </c>
      <c r="C16" s="22">
        <f>SUM(C3:C15)</f>
        <v/>
      </c>
      <c r="D16" s="22">
        <f>SUM(D3:D15)</f>
        <v/>
      </c>
      <c r="E16" s="22">
        <f>SUM(E3:E15)</f>
        <v/>
      </c>
      <c r="F16" s="22">
        <f>SUM(F3:F15)</f>
        <v/>
      </c>
      <c r="G16" s="22">
        <f>SUM(G3:G15)</f>
        <v/>
      </c>
      <c r="H16" s="22">
        <f>SUM(H3:H15)</f>
        <v/>
      </c>
      <c r="I16" s="22">
        <f>SUM(I3:I15)</f>
        <v/>
      </c>
      <c r="J16" s="22">
        <f>SUM(J3:J15)</f>
        <v/>
      </c>
      <c r="K16" s="22">
        <f>SUM(K3:K15)</f>
        <v/>
      </c>
      <c r="L16" s="22">
        <f>SUM(L3:L15)</f>
        <v/>
      </c>
      <c r="M16" s="22">
        <f>SUM(M3:M15)</f>
        <v/>
      </c>
      <c r="N16" s="22">
        <f>SUM(N3:N15)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B2A"/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34" customWidth="1" min="4" max="4"/>
  </cols>
  <sheetData>
    <row r="1" ht="30" customHeight="1">
      <c r="A1" s="23" t="inlineStr">
        <is>
          <t>ANNUAL TAX SUMMARY</t>
        </is>
      </c>
    </row>
    <row r="2">
      <c r="A2" s="24" t="inlineStr">
        <is>
          <t>Deductible rental expenses, all properties combined — ready to hand to your accountant.</t>
        </is>
      </c>
    </row>
    <row r="4">
      <c r="A4" s="25" t="inlineStr">
        <is>
          <t>Tax Year:</t>
        </is>
      </c>
      <c r="B4" s="26" t="n">
        <v>2026</v>
      </c>
      <c r="C4" s="17" t="inlineStr">
        <is>
          <t>◀ change the year; every total below updates automatically</t>
        </is>
      </c>
    </row>
    <row r="6">
      <c r="A6" s="3" t="inlineStr">
        <is>
          <t>Expense Category</t>
        </is>
      </c>
      <c r="B6" s="3" t="inlineStr">
        <is>
          <t>Total Amount</t>
        </is>
      </c>
      <c r="C6" s="3" t="inlineStr">
        <is>
          <t>Typically Deductible?</t>
        </is>
      </c>
      <c r="D6" s="3" t="inlineStr">
        <is>
          <t>Notes</t>
        </is>
      </c>
    </row>
    <row r="7">
      <c r="A7" s="6" t="inlineStr">
        <is>
          <t>Cleaning Expenses</t>
        </is>
      </c>
      <c r="B7" s="7">
        <f>SUMIFS('Master Expense Log'!$L$2:$L$501,'Master Expense Log'!$C$2:$C$501,$A7,'Master Expense Log'!$A$2:$A$501,"&gt;="&amp;DATE($B$4,1,1),'Master Expense Log'!$A$2:$A$501,"&lt;="&amp;DATE($B$4,12,31))</f>
        <v/>
      </c>
      <c r="C7" s="27" t="inlineStr">
        <is>
          <t>Yes</t>
        </is>
      </c>
      <c r="D7" s="28" t="inlineStr">
        <is>
          <t>Schedule E deductible rental expense</t>
        </is>
      </c>
    </row>
    <row r="8">
      <c r="A8" s="10" t="inlineStr">
        <is>
          <t>Maintenance Expenses</t>
        </is>
      </c>
      <c r="B8" s="11">
        <f>SUMIFS('Master Expense Log'!$L$2:$L$501,'Master Expense Log'!$C$2:$C$501,$A8,'Master Expense Log'!$A$2:$A$501,"&gt;="&amp;DATE($B$4,1,1),'Master Expense Log'!$A$2:$A$501,"&lt;="&amp;DATE($B$4,12,31))</f>
        <v/>
      </c>
      <c r="C8" s="29" t="inlineStr">
        <is>
          <t>Yes</t>
        </is>
      </c>
      <c r="D8" s="30" t="inlineStr">
        <is>
          <t>Schedule E deductible rental expense</t>
        </is>
      </c>
    </row>
    <row r="9">
      <c r="A9" s="6" t="inlineStr">
        <is>
          <t>Repairs</t>
        </is>
      </c>
      <c r="B9" s="7">
        <f>SUMIFS('Master Expense Log'!$L$2:$L$501,'Master Expense Log'!$C$2:$C$501,$A9,'Master Expense Log'!$A$2:$A$501,"&gt;="&amp;DATE($B$4,1,1),'Master Expense Log'!$A$2:$A$501,"&lt;="&amp;DATE($B$4,12,31))</f>
        <v/>
      </c>
      <c r="C9" s="27" t="inlineStr">
        <is>
          <t>Yes</t>
        </is>
      </c>
      <c r="D9" s="28" t="inlineStr">
        <is>
          <t>Schedule E deductible rental expense</t>
        </is>
      </c>
    </row>
    <row r="10">
      <c r="A10" s="10" t="inlineStr">
        <is>
          <t>Property Management Fees</t>
        </is>
      </c>
      <c r="B10" s="11">
        <f>SUMIFS('Master Expense Log'!$L$2:$L$501,'Master Expense Log'!$C$2:$C$501,$A10,'Master Expense Log'!$A$2:$A$501,"&gt;="&amp;DATE($B$4,1,1),'Master Expense Log'!$A$2:$A$501,"&lt;="&amp;DATE($B$4,12,31))</f>
        <v/>
      </c>
      <c r="C10" s="29" t="inlineStr">
        <is>
          <t>Yes</t>
        </is>
      </c>
      <c r="D10" s="30" t="inlineStr">
        <is>
          <t>Schedule E deductible rental expense</t>
        </is>
      </c>
    </row>
    <row r="11">
      <c r="A11" s="6" t="inlineStr">
        <is>
          <t>Advertising Costs</t>
        </is>
      </c>
      <c r="B11" s="7">
        <f>SUMIFS('Master Expense Log'!$L$2:$L$501,'Master Expense Log'!$C$2:$C$501,$A11,'Master Expense Log'!$A$2:$A$501,"&gt;="&amp;DATE($B$4,1,1),'Master Expense Log'!$A$2:$A$501,"&lt;="&amp;DATE($B$4,12,31))</f>
        <v/>
      </c>
      <c r="C11" s="27" t="inlineStr">
        <is>
          <t>Yes</t>
        </is>
      </c>
      <c r="D11" s="28" t="inlineStr">
        <is>
          <t>Schedule E deductible rental expense</t>
        </is>
      </c>
    </row>
    <row r="12">
      <c r="A12" s="10" t="inlineStr">
        <is>
          <t>Utilities</t>
        </is>
      </c>
      <c r="B12" s="11">
        <f>SUMIFS('Master Expense Log'!$L$2:$L$501,'Master Expense Log'!$C$2:$C$501,$A12,'Master Expense Log'!$A$2:$A$501,"&gt;="&amp;DATE($B$4,1,1),'Master Expense Log'!$A$2:$A$501,"&lt;="&amp;DATE($B$4,12,31))</f>
        <v/>
      </c>
      <c r="C12" s="29" t="inlineStr">
        <is>
          <t>Yes</t>
        </is>
      </c>
      <c r="D12" s="30" t="inlineStr">
        <is>
          <t>Schedule E deductible rental expense</t>
        </is>
      </c>
    </row>
    <row r="13">
      <c r="A13" s="6" t="inlineStr">
        <is>
          <t>Insurance</t>
        </is>
      </c>
      <c r="B13" s="7">
        <f>SUMIFS('Master Expense Log'!$L$2:$L$501,'Master Expense Log'!$C$2:$C$501,$A13,'Master Expense Log'!$A$2:$A$501,"&gt;="&amp;DATE($B$4,1,1),'Master Expense Log'!$A$2:$A$501,"&lt;="&amp;DATE($B$4,12,31))</f>
        <v/>
      </c>
      <c r="C13" s="27" t="inlineStr">
        <is>
          <t>Yes</t>
        </is>
      </c>
      <c r="D13" s="28" t="inlineStr">
        <is>
          <t>Schedule E deductible rental expense</t>
        </is>
      </c>
    </row>
    <row r="14">
      <c r="A14" s="10" t="inlineStr">
        <is>
          <t>Property Taxes</t>
        </is>
      </c>
      <c r="B14" s="11">
        <f>SUMIFS('Master Expense Log'!$L$2:$L$501,'Master Expense Log'!$C$2:$C$501,$A14,'Master Expense Log'!$A$2:$A$501,"&gt;="&amp;DATE($B$4,1,1),'Master Expense Log'!$A$2:$A$501,"&lt;="&amp;DATE($B$4,12,31))</f>
        <v/>
      </c>
      <c r="C14" s="29" t="inlineStr">
        <is>
          <t>Yes</t>
        </is>
      </c>
      <c r="D14" s="30" t="inlineStr">
        <is>
          <t>Schedule E deductible rental expense</t>
        </is>
      </c>
    </row>
    <row r="15">
      <c r="A15" s="6" t="inlineStr">
        <is>
          <t>Mortgage Interest</t>
        </is>
      </c>
      <c r="B15" s="7">
        <f>SUMIFS('Master Expense Log'!$L$2:$L$501,'Master Expense Log'!$C$2:$C$501,$A15,'Master Expense Log'!$A$2:$A$501,"&gt;="&amp;DATE($B$4,1,1),'Master Expense Log'!$A$2:$A$501,"&lt;="&amp;DATE($B$4,12,31))</f>
        <v/>
      </c>
      <c r="C15" s="27" t="inlineStr">
        <is>
          <t>Yes</t>
        </is>
      </c>
      <c r="D15" s="28" t="inlineStr">
        <is>
          <t>Schedule E deductible rental expense</t>
        </is>
      </c>
    </row>
    <row r="16">
      <c r="A16" s="10" t="inlineStr">
        <is>
          <t>Legal and Professional Fees</t>
        </is>
      </c>
      <c r="B16" s="11">
        <f>SUMIFS('Master Expense Log'!$L$2:$L$501,'Master Expense Log'!$C$2:$C$501,$A16,'Master Expense Log'!$A$2:$A$501,"&gt;="&amp;DATE($B$4,1,1),'Master Expense Log'!$A$2:$A$501,"&lt;="&amp;DATE($B$4,12,31))</f>
        <v/>
      </c>
      <c r="C16" s="29" t="inlineStr">
        <is>
          <t>Yes</t>
        </is>
      </c>
      <c r="D16" s="30" t="inlineStr">
        <is>
          <t>Schedule E deductible rental expense</t>
        </is>
      </c>
    </row>
    <row r="17">
      <c r="A17" s="6" t="inlineStr">
        <is>
          <t>Supplies</t>
        </is>
      </c>
      <c r="B17" s="7">
        <f>SUMIFS('Master Expense Log'!$L$2:$L$501,'Master Expense Log'!$C$2:$C$501,$A17,'Master Expense Log'!$A$2:$A$501,"&gt;="&amp;DATE($B$4,1,1),'Master Expense Log'!$A$2:$A$501,"&lt;="&amp;DATE($B$4,12,31))</f>
        <v/>
      </c>
      <c r="C17" s="27" t="inlineStr">
        <is>
          <t>Yes</t>
        </is>
      </c>
      <c r="D17" s="28" t="inlineStr">
        <is>
          <t>Schedule E deductible rental expense</t>
        </is>
      </c>
    </row>
    <row r="18">
      <c r="A18" s="10" t="inlineStr">
        <is>
          <t>Travel Expenses</t>
        </is>
      </c>
      <c r="B18" s="11">
        <f>SUMIFS('Master Expense Log'!$L$2:$L$501,'Master Expense Log'!$C$2:$C$501,$A18,'Master Expense Log'!$A$2:$A$501,"&gt;="&amp;DATE($B$4,1,1),'Master Expense Log'!$A$2:$A$501,"&lt;="&amp;DATE($B$4,12,31))</f>
        <v/>
      </c>
      <c r="C18" s="29" t="inlineStr">
        <is>
          <t>Yes</t>
        </is>
      </c>
      <c r="D18" s="30" t="inlineStr">
        <is>
          <t>Schedule E deductible rental expense</t>
        </is>
      </c>
    </row>
    <row r="19">
      <c r="A19" s="6" t="inlineStr">
        <is>
          <t>Other Miscellaneous Expenses</t>
        </is>
      </c>
      <c r="B19" s="7">
        <f>SUMIFS('Master Expense Log'!$L$2:$L$501,'Master Expense Log'!$C$2:$C$501,$A19,'Master Expense Log'!$A$2:$A$501,"&gt;="&amp;DATE($B$4,1,1),'Master Expense Log'!$A$2:$A$501,"&lt;="&amp;DATE($B$4,12,31))</f>
        <v/>
      </c>
      <c r="C19" s="27" t="inlineStr">
        <is>
          <t>Yes</t>
        </is>
      </c>
      <c r="D19" s="28" t="inlineStr">
        <is>
          <t>Schedule E deductible rental expense</t>
        </is>
      </c>
    </row>
    <row r="20">
      <c r="A20" s="21" t="inlineStr">
        <is>
          <t>GRAND TOTAL (all deductible expenses)</t>
        </is>
      </c>
      <c r="B20" s="31">
        <f>SUM(B7:B19)</f>
        <v/>
      </c>
      <c r="C20" s="32" t="n"/>
      <c r="D20" s="32" t="n"/>
    </row>
    <row r="22">
      <c r="A22" s="17" t="inlineStr">
        <is>
          <t>Disclaimer: deductibility depends on your facts. Confirm with your CPA. Mortgage interest &amp; property taxes reported on Schedule E.</t>
        </is>
      </c>
    </row>
  </sheetData>
  <mergeCells count="4">
    <mergeCell ref="A22:D22"/>
    <mergeCell ref="A1:D1"/>
    <mergeCell ref="A2:D2"/>
    <mergeCell ref="C4:D4"/>
  </mergeCells>
  <dataValidations count="1">
    <dataValidation sqref="B4" showDropDown="0" showInputMessage="0" showErrorMessage="1" allowBlank="0" error="Pick a tax year." type="list">
      <formula1>=Lists!$C$2:$C$6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006B4FA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1" t="inlineStr">
        <is>
          <t>PROPERTY DETAIL  —  pick a property to see all its entries (live from Master Log)</t>
        </is>
      </c>
    </row>
    <row r="3">
      <c r="A3" s="25" t="inlineStr">
        <is>
          <t>Property:</t>
        </is>
      </c>
      <c r="B3" s="33" t="inlineStr">
        <is>
          <t>123 Maple St</t>
        </is>
      </c>
      <c r="C3" s="34" t="n"/>
      <c r="D3" s="35" t="n"/>
      <c r="F3" s="36" t="inlineStr">
        <is>
          <t>Total Cost:</t>
        </is>
      </c>
      <c r="G3" s="37">
        <f>SUMIF('Master Expense Log'!$B$2:$B$501,$B$3,'Master Expense Log'!$L$2:$L$501)</f>
        <v/>
      </c>
    </row>
    <row r="4">
      <c r="F4" s="36" t="inlineStr">
        <is>
          <t>Total Hours:</t>
        </is>
      </c>
      <c r="G4" s="37">
        <f>SUMIF('Master Expense Log'!$B$2:$B$501,$B$3,'Master Expense Log'!$I$2:$I$501)</f>
        <v/>
      </c>
    </row>
    <row r="5">
      <c r="F5" s="36" t="inlineStr">
        <is>
          <t>Labor Cost:</t>
        </is>
      </c>
      <c r="G5" s="37">
        <f>SUMIF('Master Expense Log'!$B$2:$B$501,$B$3,'Master Expense Log'!$K$2:$K$501)</f>
        <v/>
      </c>
    </row>
    <row r="6">
      <c r="A6" s="25" t="inlineStr">
        <is>
          <t>Category totals for selected property</t>
        </is>
      </c>
    </row>
    <row r="7">
      <c r="A7" s="10" t="inlineStr">
        <is>
          <t>Cleaning Expenses</t>
        </is>
      </c>
      <c r="B7" s="11">
        <f>SUMIFS('Master Expense Log'!$L$2:$L$501,'Master Expense Log'!$B$2:$B$501,$B$3,'Master Expense Log'!$C$2:$C$501,$A7)</f>
        <v/>
      </c>
    </row>
    <row r="8">
      <c r="A8" s="6" t="inlineStr">
        <is>
          <t>Maintenance Expenses</t>
        </is>
      </c>
      <c r="B8" s="7">
        <f>SUMIFS('Master Expense Log'!$L$2:$L$501,'Master Expense Log'!$B$2:$B$501,$B$3,'Master Expense Log'!$C$2:$C$501,$A8)</f>
        <v/>
      </c>
    </row>
    <row r="9">
      <c r="A9" s="10" t="inlineStr">
        <is>
          <t>Repairs</t>
        </is>
      </c>
      <c r="B9" s="11">
        <f>SUMIFS('Master Expense Log'!$L$2:$L$501,'Master Expense Log'!$B$2:$B$501,$B$3,'Master Expense Log'!$C$2:$C$501,$A9)</f>
        <v/>
      </c>
    </row>
    <row r="10">
      <c r="A10" s="6" t="inlineStr">
        <is>
          <t>Property Management Fees</t>
        </is>
      </c>
      <c r="B10" s="7">
        <f>SUMIFS('Master Expense Log'!$L$2:$L$501,'Master Expense Log'!$B$2:$B$501,$B$3,'Master Expense Log'!$C$2:$C$501,$A10)</f>
        <v/>
      </c>
    </row>
    <row r="11">
      <c r="A11" s="10" t="inlineStr">
        <is>
          <t>Advertising Costs</t>
        </is>
      </c>
      <c r="B11" s="11">
        <f>SUMIFS('Master Expense Log'!$L$2:$L$501,'Master Expense Log'!$B$2:$B$501,$B$3,'Master Expense Log'!$C$2:$C$501,$A11)</f>
        <v/>
      </c>
    </row>
    <row r="12">
      <c r="A12" s="6" t="inlineStr">
        <is>
          <t>Utilities</t>
        </is>
      </c>
      <c r="B12" s="7">
        <f>SUMIFS('Master Expense Log'!$L$2:$L$501,'Master Expense Log'!$B$2:$B$501,$B$3,'Master Expense Log'!$C$2:$C$501,$A12)</f>
        <v/>
      </c>
    </row>
    <row r="13">
      <c r="A13" s="10" t="inlineStr">
        <is>
          <t>Insurance</t>
        </is>
      </c>
      <c r="B13" s="11">
        <f>SUMIFS('Master Expense Log'!$L$2:$L$501,'Master Expense Log'!$B$2:$B$501,$B$3,'Master Expense Log'!$C$2:$C$501,$A13)</f>
        <v/>
      </c>
    </row>
    <row r="14">
      <c r="A14" s="6" t="inlineStr">
        <is>
          <t>Property Taxes</t>
        </is>
      </c>
      <c r="B14" s="7">
        <f>SUMIFS('Master Expense Log'!$L$2:$L$501,'Master Expense Log'!$B$2:$B$501,$B$3,'Master Expense Log'!$C$2:$C$501,$A14)</f>
        <v/>
      </c>
    </row>
    <row r="15">
      <c r="A15" s="10" t="inlineStr">
        <is>
          <t>Mortgage Interest</t>
        </is>
      </c>
      <c r="B15" s="11">
        <f>SUMIFS('Master Expense Log'!$L$2:$L$501,'Master Expense Log'!$B$2:$B$501,$B$3,'Master Expense Log'!$C$2:$C$501,$A15)</f>
        <v/>
      </c>
    </row>
    <row r="16">
      <c r="A16" s="6" t="inlineStr">
        <is>
          <t>Legal and Professional Fees</t>
        </is>
      </c>
      <c r="B16" s="7">
        <f>SUMIFS('Master Expense Log'!$L$2:$L$501,'Master Expense Log'!$B$2:$B$501,$B$3,'Master Expense Log'!$C$2:$C$501,$A16)</f>
        <v/>
      </c>
    </row>
    <row r="17">
      <c r="A17" s="10" t="inlineStr">
        <is>
          <t>Supplies</t>
        </is>
      </c>
      <c r="B17" s="11">
        <f>SUMIFS('Master Expense Log'!$L$2:$L$501,'Master Expense Log'!$B$2:$B$501,$B$3,'Master Expense Log'!$C$2:$C$501,$A17)</f>
        <v/>
      </c>
    </row>
    <row r="18">
      <c r="A18" s="6" t="inlineStr">
        <is>
          <t>Travel Expenses</t>
        </is>
      </c>
      <c r="B18" s="7">
        <f>SUMIFS('Master Expense Log'!$L$2:$L$501,'Master Expense Log'!$B$2:$B$501,$B$3,'Master Expense Log'!$C$2:$C$501,$A18)</f>
        <v/>
      </c>
    </row>
    <row r="19">
      <c r="A19" s="10" t="inlineStr">
        <is>
          <t>Other Miscellaneous Expenses</t>
        </is>
      </c>
      <c r="B19" s="11">
        <f>SUMIFS('Master Expense Log'!$L$2:$L$501,'Master Expense Log'!$B$2:$B$501,$B$3,'Master Expense Log'!$C$2:$C$501,$A19)</f>
        <v/>
      </c>
    </row>
    <row r="21">
      <c r="A21" s="25" t="inlineStr">
        <is>
          <t>All entries for selected property:</t>
        </is>
      </c>
    </row>
    <row r="22">
      <c r="A22" s="3" t="inlineStr">
        <is>
          <t>Date</t>
        </is>
      </c>
      <c r="B22" s="3" t="inlineStr">
        <is>
          <t>Category</t>
        </is>
      </c>
      <c r="C22" s="3" t="inlineStr">
        <is>
          <t>Vendor/Payee</t>
        </is>
      </c>
      <c r="D22" s="3" t="inlineStr">
        <is>
          <t>Description</t>
        </is>
      </c>
      <c r="E22" s="3" t="inlineStr">
        <is>
          <t>Amount</t>
        </is>
      </c>
      <c r="F22" s="3" t="inlineStr">
        <is>
          <t>Receipt Ref #</t>
        </is>
      </c>
      <c r="G22" s="3" t="inlineStr">
        <is>
          <t>Total Cost</t>
        </is>
      </c>
    </row>
    <row r="23">
      <c r="A23" s="38">
        <f>IFERROR(FILTER(CHOOSE({1,2,3,4,5,6,7},'Master Expense Log'!A2:A501,'Master Expense Log'!C2:C501,'Master Expense Log'!D2:D501,'Master Expense Log'!E2:E501,'Master Expense Log'!F2:F501,'Master Expense Log'!H2:H501,'Master Expense Log'!L2:L501),'Master Expense Log'!B2:B501=$B$3),"No entries for this property yet."))</f>
        <v/>
      </c>
    </row>
    <row r="40">
      <c r="A40" s="17" t="inlineStr">
        <is>
          <t>This view is READ-ONLY &amp; live. Add / edit / delete entries in the Master Expense Log; this tab updates automatically. (FILTER needs Excel 365 or Google Sheets.)</t>
        </is>
      </c>
    </row>
  </sheetData>
  <mergeCells count="3">
    <mergeCell ref="B3:D3"/>
    <mergeCell ref="A40:G40"/>
    <mergeCell ref="A1:H1"/>
  </mergeCells>
  <dataValidations count="1">
    <dataValidation sqref="B3" showDropDown="0" showInputMessage="0" showErrorMessage="1" allowBlank="0" type="list">
      <formula1>=Properties!$A$3:$A$14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 ht="30" customHeight="1">
      <c r="A1" s="23" t="inlineStr">
        <is>
          <t>LEGEND &amp; FORMULA GUIDE</t>
        </is>
      </c>
    </row>
    <row r="2" ht="22" customHeight="1">
      <c r="A2" s="39" t="inlineStr">
        <is>
          <t>FORMULAS USED</t>
        </is>
      </c>
    </row>
    <row r="3" ht="34" customHeight="1">
      <c r="A3" s="40" t="inlineStr">
        <is>
          <t>Calculated Labor Cost</t>
        </is>
      </c>
      <c r="B3" s="41">
        <f>IF(AND(ISNUMBER(hours),ISNUMBER(rate)), hours×rate, "") — labor cost only when BOTH Time Spent and Hourly Rate are filled in; otherwise blank.</f>
        <v/>
      </c>
    </row>
    <row r="4" ht="34" customHeight="1">
      <c r="A4" s="40" t="inlineStr">
        <is>
          <t>Total Cost</t>
        </is>
      </c>
      <c r="B4" s="41">
        <f>IF(both blank,"", Amount + Labor Cost) — sums the cash amount plus any calculated labor. This is the number every summary uses.</f>
        <v/>
      </c>
    </row>
    <row r="5" ht="34" customHeight="1">
      <c r="A5" s="40" t="inlineStr">
        <is>
          <t>Per-Property Summary</t>
        </is>
      </c>
      <c r="B5" s="41">
        <f>SUMIFS(Master Total Cost, Category, thisRow, Property, thisColumnHeader) — totals each category for each property. Property headers pull live from the Properties tab.</f>
        <v/>
      </c>
    </row>
    <row r="6" ht="34" customHeight="1">
      <c r="A6" s="40" t="inlineStr">
        <is>
          <t>Annual Tax Summary</t>
        </is>
      </c>
      <c r="B6" s="41">
        <f>SUMIFS(Master Total Cost, Category, thisRow, Date, &gt;=Jan1 of year, Date, &lt;=Dec31 of year) — totals by category for the year chosen in cell B4.</f>
        <v/>
      </c>
    </row>
    <row r="7" ht="34" customHeight="1">
      <c r="A7" s="40" t="inlineStr">
        <is>
          <t>Property Detail KPIs</t>
        </is>
      </c>
      <c r="B7" s="41">
        <f>SUMIF(Property, selected, TotalCost / Hours / Labor) — headline totals for the property chosen in B3.</f>
        <v/>
      </c>
    </row>
    <row r="8" ht="34" customHeight="1">
      <c r="A8" s="40" t="inlineStr">
        <is>
          <t>Property Detail table</t>
        </is>
      </c>
      <c r="B8" s="41">
        <f>FILTER(CHOOSE(...), Property = selected) — spills every matching row live. Needs Excel 365 or Google Sheets (dynamic arrays).</f>
        <v/>
      </c>
    </row>
    <row r="9" ht="22" customHeight="1">
      <c r="A9" s="39" t="inlineStr">
        <is>
          <t>HOW-TO</t>
        </is>
      </c>
    </row>
    <row r="10" ht="34" customHeight="1">
      <c r="A10" s="40" t="inlineStr">
        <is>
          <t>Add a new property</t>
        </is>
      </c>
      <c r="B10" s="41" t="inlineStr">
        <is>
          <t>Go to the Properties tab and type the name in the next empty row (slots reserved through row 14). It appears automatically in every dropdown and summary column.</t>
        </is>
      </c>
    </row>
    <row r="11" ht="34" customHeight="1">
      <c r="A11" s="40" t="inlineStr">
        <is>
          <t>Add a new expense</t>
        </is>
      </c>
      <c r="B11" s="41" t="inlineStr">
        <is>
          <t>Go to Master Expense Log, fill the next empty row. Use the dropdowns for Property, Category, Payment. Labor Cost &amp; Total Cost calculate themselves.</t>
        </is>
      </c>
    </row>
    <row r="12" ht="34" customHeight="1">
      <c r="A12" s="40" t="inlineStr">
        <is>
          <t>Log labor / your time</t>
        </is>
      </c>
      <c r="B12" s="41" t="inlineStr">
        <is>
          <t>Enter Time Spent (hours) AND Hourly Rate on the row — Calculated Labor Cost fills in and rolls into Total Cost automatically.</t>
        </is>
      </c>
    </row>
    <row r="13" ht="34" customHeight="1">
      <c r="A13" s="40" t="inlineStr">
        <is>
          <t>Run tax summary for a year</t>
        </is>
      </c>
      <c r="B13" s="41" t="inlineStr">
        <is>
          <t>Open Annual Tax Summary, change the Tax Year dropdown in cell B4. All category totals + grand total recalculate for that year.</t>
        </is>
      </c>
    </row>
    <row r="14" ht="34" customHeight="1">
      <c r="A14" s="40" t="inlineStr">
        <is>
          <t>Missing-receipt flag</t>
        </is>
      </c>
      <c r="B14" s="41" t="inlineStr">
        <is>
          <t>On the Master Log, any row with an amount/date but a BLANK Receipt Ref # is highlighted amber automatically — chase the receipt before filing.</t>
        </is>
      </c>
    </row>
    <row r="15" ht="34" customHeight="1">
      <c r="A15" s="40" t="inlineStr">
        <is>
          <t>Export / print tax view</t>
        </is>
      </c>
      <c r="B15" s="41" t="inlineStr">
        <is>
          <t>Annual Tax Summary tab → File ▸ Print (print area &amp; fit-to-width are preset) or File ▸ Download / Save As ▸ PDF. Hand the PDF to your accountant.</t>
        </is>
      </c>
    </row>
    <row r="16" ht="34" customHeight="1">
      <c r="A16" s="40" t="inlineStr">
        <is>
          <t>Upload to Documents</t>
        </is>
      </c>
      <c r="B16" s="41" t="inlineStr">
        <is>
          <t>Save/Download this whole workbook (.xlsx) and upload it under Documents to securely share the tax view with your CPA.</t>
        </is>
      </c>
    </row>
    <row r="17" ht="22" customHeight="1">
      <c r="A17" s="39" t="inlineStr">
        <is>
          <t>TABS</t>
        </is>
      </c>
    </row>
    <row r="18" ht="34" customHeight="1">
      <c r="A18" s="40" t="inlineStr">
        <is>
          <t>Lists (hidden)</t>
        </is>
      </c>
      <c r="B18" s="41" t="inlineStr">
        <is>
          <t>Holds the dropdown source values (categories, payment methods, tax years). Unhide only if you need to edit the master category list.</t>
        </is>
      </c>
    </row>
    <row r="19" ht="34" customHeight="1">
      <c r="A19" s="40" t="inlineStr">
        <is>
          <t>Properties</t>
        </is>
      </c>
      <c r="B19" s="41" t="inlineStr">
        <is>
          <t>Master property list — the single source that drives all dropdowns and summary columns.</t>
        </is>
      </c>
    </row>
    <row r="20" ht="34" customHeight="1">
      <c r="A20" s="40" t="inlineStr">
        <is>
          <t>Master Expense Log</t>
        </is>
      </c>
      <c r="B20" s="41" t="inlineStr">
        <is>
          <t>The one place you enter data. Everything else reads from here.</t>
        </is>
      </c>
    </row>
    <row r="21" ht="34" customHeight="1">
      <c r="A21" s="40" t="inlineStr">
        <is>
          <t>Per-Property Summary</t>
        </is>
      </c>
      <c r="B21" s="41" t="inlineStr">
        <is>
          <t>Category × property matrix, live.</t>
        </is>
      </c>
    </row>
    <row r="22" ht="34" customHeight="1">
      <c r="A22" s="40" t="inlineStr">
        <is>
          <t>Annual Tax Summary</t>
        </is>
      </c>
      <c r="B22" s="41" t="inlineStr">
        <is>
          <t>Printable, year-selectable, accountant-ready view.</t>
        </is>
      </c>
    </row>
    <row r="23" ht="34" customHeight="1">
      <c r="A23" s="40" t="inlineStr">
        <is>
          <t>Property Detail</t>
        </is>
      </c>
      <c r="B23" s="41" t="inlineStr">
        <is>
          <t>Pick one property; see its KPIs, category totals, and full entry list.</t>
        </is>
      </c>
    </row>
  </sheetData>
  <mergeCells count="4">
    <mergeCell ref="A9:B9"/>
    <mergeCell ref="A2:B2"/>
    <mergeCell ref="A1:B1"/>
    <mergeCell ref="A17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42" t="inlineStr">
        <is>
          <t>Expense Categories</t>
        </is>
      </c>
      <c r="B1" s="42" t="inlineStr">
        <is>
          <t>Payment Methods</t>
        </is>
      </c>
      <c r="C1" s="42" t="inlineStr">
        <is>
          <t>Tax Years</t>
        </is>
      </c>
    </row>
    <row r="2">
      <c r="A2" t="inlineStr">
        <is>
          <t>Cleaning Expenses</t>
        </is>
      </c>
      <c r="B2" t="inlineStr">
        <is>
          <t>Cash</t>
        </is>
      </c>
      <c r="C2" t="n">
        <v>2024</v>
      </c>
    </row>
    <row r="3">
      <c r="A3" t="inlineStr">
        <is>
          <t>Maintenance Expenses</t>
        </is>
      </c>
      <c r="B3" t="inlineStr">
        <is>
          <t>Check</t>
        </is>
      </c>
      <c r="C3" t="n">
        <v>2025</v>
      </c>
    </row>
    <row r="4">
      <c r="A4" t="inlineStr">
        <is>
          <t>Repairs</t>
        </is>
      </c>
      <c r="B4" t="inlineStr">
        <is>
          <t>Credit Card</t>
        </is>
      </c>
      <c r="C4" t="n">
        <v>2026</v>
      </c>
    </row>
    <row r="5">
      <c r="A5" t="inlineStr">
        <is>
          <t>Property Management Fees</t>
        </is>
      </c>
      <c r="B5" t="inlineStr">
        <is>
          <t>Bank Transfer</t>
        </is>
      </c>
      <c r="C5" t="n">
        <v>2027</v>
      </c>
    </row>
    <row r="6">
      <c r="A6" t="inlineStr">
        <is>
          <t>Advertising Costs</t>
        </is>
      </c>
      <c r="B6" t="inlineStr">
        <is>
          <t>Other</t>
        </is>
      </c>
      <c r="C6" t="n">
        <v>2028</v>
      </c>
    </row>
    <row r="7">
      <c r="A7" t="inlineStr">
        <is>
          <t>Utilities</t>
        </is>
      </c>
    </row>
    <row r="8">
      <c r="A8" t="inlineStr">
        <is>
          <t>Insurance</t>
        </is>
      </c>
    </row>
    <row r="9">
      <c r="A9" t="inlineStr">
        <is>
          <t>Property Taxes</t>
        </is>
      </c>
    </row>
    <row r="10">
      <c r="A10" t="inlineStr">
        <is>
          <t>Mortgage Interest</t>
        </is>
      </c>
    </row>
    <row r="11">
      <c r="A11" t="inlineStr">
        <is>
          <t>Legal and Professional Fees</t>
        </is>
      </c>
    </row>
    <row r="12">
      <c r="A12" t="inlineStr">
        <is>
          <t>Supplies</t>
        </is>
      </c>
    </row>
    <row r="13">
      <c r="A13" t="inlineStr">
        <is>
          <t>Travel Expenses</t>
        </is>
      </c>
    </row>
    <row r="14">
      <c r="A14" t="inlineStr">
        <is>
          <t>Other Miscellaneous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2026-07-18T03:03:07Z</dcterms:created>
  <dcterms:modified xsi:type="dcterms:W3CDTF">2026-07-18T03:03:07Z</dcterms:modified>
</cp:coreProperties>
</file>